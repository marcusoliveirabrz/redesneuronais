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oogle Drive\3 - Desenvolvimento\Doutorado\Disciplinas\2020-2\Redes_Neuronais\Book\"/>
    </mc:Choice>
  </mc:AlternateContent>
  <xr:revisionPtr revIDLastSave="0" documentId="13_ncr:1_{7304F7C9-2048-4D4D-9D97-D987486C33CF}" xr6:coauthVersionLast="45" xr6:coauthVersionMax="45" xr10:uidLastSave="{00000000-0000-0000-0000-000000000000}"/>
  <bookViews>
    <workbookView xWindow="-20610" yWindow="-120" windowWidth="20730" windowHeight="11160" xr2:uid="{8430B3B5-5AF1-4A04-878E-EF90B365C3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5" i="1" l="1"/>
  <c r="E10" i="1"/>
  <c r="D9" i="1"/>
  <c r="C8" i="1"/>
  <c r="C9" i="1"/>
  <c r="E9" i="1"/>
  <c r="H130" i="1"/>
  <c r="H123" i="1"/>
  <c r="H116" i="1"/>
  <c r="H109" i="1"/>
  <c r="H102" i="1"/>
  <c r="H95" i="1"/>
  <c r="H88" i="1"/>
  <c r="H81" i="1"/>
  <c r="H74" i="1"/>
  <c r="H60" i="1"/>
  <c r="H53" i="1"/>
  <c r="H46" i="1"/>
  <c r="H39" i="1"/>
  <c r="H67" i="1"/>
  <c r="E8" i="1"/>
  <c r="J25" i="1"/>
  <c r="I25" i="1"/>
  <c r="H32" i="1"/>
  <c r="H25" i="1"/>
  <c r="E25" i="1"/>
  <c r="D25" i="1"/>
  <c r="C25" i="1"/>
  <c r="D10" i="1"/>
  <c r="D8" i="1"/>
  <c r="I26" i="1" l="1"/>
  <c r="I32" i="1" s="1"/>
  <c r="I28" i="1"/>
  <c r="K32" i="1" s="1"/>
  <c r="I27" i="1"/>
  <c r="J32" i="1" s="1"/>
  <c r="C26" i="1"/>
  <c r="C32" i="1" s="1"/>
  <c r="C28" i="1"/>
  <c r="E32" i="1" s="1"/>
  <c r="C27" i="1"/>
  <c r="D32" i="1" s="1"/>
  <c r="C10" i="1"/>
  <c r="I35" i="1" l="1"/>
  <c r="I33" i="1"/>
  <c r="I39" i="1" s="1"/>
  <c r="I34" i="1"/>
  <c r="J39" i="1" s="1"/>
  <c r="C35" i="1"/>
  <c r="E39" i="1" s="1"/>
  <c r="K39" i="1"/>
  <c r="C34" i="1"/>
  <c r="D39" i="1" s="1"/>
  <c r="C33" i="1"/>
  <c r="C39" i="1" s="1"/>
  <c r="I40" i="1" l="1"/>
  <c r="I46" i="1" s="1"/>
  <c r="I41" i="1"/>
  <c r="J46" i="1" s="1"/>
  <c r="I42" i="1"/>
  <c r="K46" i="1" s="1"/>
  <c r="C42" i="1"/>
  <c r="E46" i="1" s="1"/>
  <c r="C40" i="1"/>
  <c r="C46" i="1" s="1"/>
  <c r="C41" i="1"/>
  <c r="D46" i="1" s="1"/>
  <c r="C47" i="1" l="1"/>
  <c r="C53" i="1" s="1"/>
  <c r="C49" i="1"/>
  <c r="E53" i="1" s="1"/>
  <c r="C48" i="1"/>
  <c r="D53" i="1" s="1"/>
  <c r="I49" i="1"/>
  <c r="K53" i="1" s="1"/>
  <c r="I47" i="1"/>
  <c r="I53" i="1" s="1"/>
  <c r="I48" i="1"/>
  <c r="J53" i="1" s="1"/>
  <c r="C56" i="1" l="1"/>
  <c r="E60" i="1" s="1"/>
  <c r="C54" i="1"/>
  <c r="C60" i="1" s="1"/>
  <c r="C55" i="1"/>
  <c r="D60" i="1" s="1"/>
  <c r="I55" i="1"/>
  <c r="J60" i="1" s="1"/>
  <c r="J67" i="1" s="1"/>
  <c r="I56" i="1"/>
  <c r="K60" i="1" s="1"/>
  <c r="I54" i="1"/>
  <c r="I60" i="1" s="1"/>
  <c r="C63" i="1" l="1"/>
  <c r="E67" i="1" s="1"/>
  <c r="C62" i="1"/>
  <c r="D67" i="1" s="1"/>
  <c r="C61" i="1"/>
  <c r="C67" i="1" s="1"/>
  <c r="I63" i="1"/>
  <c r="K67" i="1"/>
  <c r="I61" i="1"/>
  <c r="I67" i="1" s="1"/>
  <c r="I62" i="1"/>
  <c r="C70" i="1" l="1"/>
  <c r="E74" i="1" s="1"/>
  <c r="C68" i="1"/>
  <c r="C74" i="1" s="1"/>
  <c r="C69" i="1"/>
  <c r="D74" i="1" s="1"/>
  <c r="I70" i="1"/>
  <c r="K74" i="1" s="1"/>
  <c r="I69" i="1"/>
  <c r="J74" i="1" s="1"/>
  <c r="I68" i="1"/>
  <c r="I74" i="1" s="1"/>
  <c r="I77" i="1" l="1"/>
  <c r="K81" i="1" s="1"/>
  <c r="C77" i="1"/>
  <c r="E81" i="1" s="1"/>
  <c r="C76" i="1"/>
  <c r="D81" i="1" s="1"/>
  <c r="C75" i="1"/>
  <c r="C81" i="1" s="1"/>
  <c r="I75" i="1"/>
  <c r="I81" i="1" s="1"/>
  <c r="I76" i="1"/>
  <c r="J81" i="1" s="1"/>
  <c r="C84" i="1" l="1"/>
  <c r="E88" i="1" s="1"/>
  <c r="C83" i="1"/>
  <c r="D88" i="1" s="1"/>
  <c r="C82" i="1"/>
  <c r="C88" i="1" s="1"/>
  <c r="I83" i="1"/>
  <c r="J88" i="1" s="1"/>
  <c r="I84" i="1"/>
  <c r="K88" i="1" s="1"/>
  <c r="I82" i="1"/>
  <c r="I88" i="1" s="1"/>
  <c r="C91" i="1" l="1"/>
  <c r="E95" i="1" s="1"/>
  <c r="C89" i="1"/>
  <c r="C95" i="1" s="1"/>
  <c r="C90" i="1"/>
  <c r="D95" i="1" s="1"/>
  <c r="I90" i="1"/>
  <c r="J95" i="1" s="1"/>
  <c r="I91" i="1"/>
  <c r="K95" i="1" s="1"/>
  <c r="I89" i="1"/>
  <c r="I95" i="1" s="1"/>
  <c r="C98" i="1" l="1"/>
  <c r="E102" i="1" s="1"/>
  <c r="C97" i="1"/>
  <c r="D102" i="1" s="1"/>
  <c r="C96" i="1"/>
  <c r="C102" i="1" s="1"/>
  <c r="I98" i="1"/>
  <c r="K102" i="1" s="1"/>
  <c r="I96" i="1"/>
  <c r="I102" i="1" s="1"/>
  <c r="I97" i="1"/>
  <c r="J102" i="1" s="1"/>
  <c r="C105" i="1" l="1"/>
  <c r="E109" i="1" s="1"/>
  <c r="C104" i="1"/>
  <c r="D109" i="1" s="1"/>
  <c r="C103" i="1"/>
  <c r="C109" i="1" s="1"/>
  <c r="I105" i="1"/>
  <c r="K109" i="1" s="1"/>
  <c r="I103" i="1"/>
  <c r="I109" i="1" s="1"/>
  <c r="I104" i="1"/>
  <c r="J109" i="1" s="1"/>
  <c r="C112" i="1" l="1"/>
  <c r="E116" i="1" s="1"/>
  <c r="C110" i="1"/>
  <c r="C116" i="1" s="1"/>
  <c r="C111" i="1"/>
  <c r="D116" i="1" s="1"/>
  <c r="I112" i="1"/>
  <c r="K116" i="1" s="1"/>
  <c r="I111" i="1"/>
  <c r="J116" i="1" s="1"/>
  <c r="I110" i="1"/>
  <c r="I116" i="1" s="1"/>
  <c r="C119" i="1" l="1"/>
  <c r="E123" i="1" s="1"/>
  <c r="C117" i="1"/>
  <c r="C123" i="1" s="1"/>
  <c r="C118" i="1"/>
  <c r="D123" i="1" s="1"/>
  <c r="I119" i="1"/>
  <c r="K123" i="1" s="1"/>
  <c r="I118" i="1"/>
  <c r="J123" i="1" s="1"/>
  <c r="I117" i="1"/>
  <c r="I123" i="1" s="1"/>
  <c r="C126" i="1" l="1"/>
  <c r="E130" i="1" s="1"/>
  <c r="C125" i="1"/>
  <c r="D130" i="1" s="1"/>
  <c r="C124" i="1"/>
  <c r="C130" i="1" s="1"/>
  <c r="I125" i="1"/>
  <c r="J130" i="1" s="1"/>
  <c r="I126" i="1"/>
  <c r="K130" i="1" s="1"/>
  <c r="I124" i="1"/>
  <c r="C133" i="1" l="1"/>
  <c r="E20" i="1" s="1"/>
  <c r="C132" i="1"/>
  <c r="D20" i="1" s="1"/>
  <c r="C131" i="1"/>
  <c r="C20" i="1" s="1"/>
  <c r="I130" i="1"/>
  <c r="I132" i="1" s="1"/>
  <c r="J20" i="1" s="1"/>
  <c r="C21" i="1" l="1"/>
  <c r="I133" i="1"/>
  <c r="K20" i="1" s="1"/>
  <c r="I131" i="1"/>
  <c r="I20" i="1" s="1"/>
  <c r="I21" i="1" s="1"/>
</calcChain>
</file>

<file path=xl/sharedStrings.xml><?xml version="1.0" encoding="utf-8"?>
<sst xmlns="http://schemas.openxmlformats.org/spreadsheetml/2006/main" count="310" uniqueCount="17">
  <si>
    <t>S1</t>
  </si>
  <si>
    <t>S2</t>
  </si>
  <si>
    <t>S3</t>
  </si>
  <si>
    <t>Estados atuais</t>
  </si>
  <si>
    <t>Estados novos</t>
  </si>
  <si>
    <t>i \ j</t>
  </si>
  <si>
    <t>Entrada</t>
  </si>
  <si>
    <t>Pesos</t>
  </si>
  <si>
    <t>SÍNCRONO</t>
  </si>
  <si>
    <t>i a atualizar</t>
  </si>
  <si>
    <t>ASSÍNCRONO</t>
  </si>
  <si>
    <t>Padrão retornado</t>
  </si>
  <si>
    <t>Todos atualizados</t>
  </si>
  <si>
    <t>Unidade a atualizar</t>
  </si>
  <si>
    <t>DADOS DA MEMÓRIA</t>
  </si>
  <si>
    <t>Padrão armazenado (ksi)</t>
  </si>
  <si>
    <t xml:space="preserve">Esta planilha implementa o algoritmo de atualização de padrões em uma rede de Hopfield com um único padrão armazenado
Entre com o padrão que se deseja armazenar e coloque em ENTRADA o padrão que você deseja apresentar para a rede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</si>
</sst>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4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4" borderId="0" xfId="0" applyFill="1"/>
    <xf numFmtId="0" fontId="1" fillId="5" borderId="1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textRotation="90" wrapText="1"/>
    </xf>
    <xf numFmtId="0" fontId="2" fillId="2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0" fillId="4" borderId="0" xfId="0" applyFill="1" applyBorder="1"/>
    <xf numFmtId="0" fontId="0" fillId="4" borderId="0" xfId="0" applyFill="1" applyAlignment="1"/>
    <xf numFmtId="0" fontId="2" fillId="6" borderId="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2" fontId="0" fillId="4" borderId="1" xfId="0" applyNumberFormat="1" applyFill="1" applyBorder="1" applyAlignment="1">
      <alignment horizontal="center"/>
    </xf>
    <xf numFmtId="12" fontId="0" fillId="4" borderId="2" xfId="0" applyNumberFormat="1" applyFill="1" applyBorder="1" applyAlignment="1">
      <alignment horizontal="center"/>
    </xf>
    <xf numFmtId="12" fontId="0" fillId="4" borderId="3" xfId="0" applyNumberFormat="1" applyFill="1" applyBorder="1" applyAlignment="1">
      <alignment horizontal="center"/>
    </xf>
    <xf numFmtId="12" fontId="0" fillId="4" borderId="4" xfId="0" applyNumberFormat="1" applyFill="1" applyBorder="1" applyAlignment="1">
      <alignment horizontal="center"/>
    </xf>
    <xf numFmtId="12" fontId="0" fillId="4" borderId="0" xfId="0" applyNumberFormat="1" applyFill="1" applyBorder="1" applyAlignment="1">
      <alignment horizontal="center"/>
    </xf>
    <xf numFmtId="12" fontId="0" fillId="4" borderId="5" xfId="0" applyNumberFormat="1" applyFill="1" applyBorder="1" applyAlignment="1">
      <alignment horizontal="center"/>
    </xf>
    <xf numFmtId="12" fontId="0" fillId="4" borderId="6" xfId="0" applyNumberFormat="1" applyFill="1" applyBorder="1" applyAlignment="1">
      <alignment horizontal="center"/>
    </xf>
    <xf numFmtId="12" fontId="0" fillId="4" borderId="7" xfId="0" applyNumberFormat="1" applyFill="1" applyBorder="1" applyAlignment="1">
      <alignment horizontal="center"/>
    </xf>
    <xf numFmtId="12" fontId="0" fillId="4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BAE8-225F-43FB-BD79-04D5D737845F}">
  <dimension ref="A1:K133"/>
  <sheetViews>
    <sheetView tabSelected="1" topLeftCell="A16" workbookViewId="0">
      <selection activeCell="G1" sqref="A1:K13"/>
    </sheetView>
  </sheetViews>
  <sheetFormatPr defaultRowHeight="15" x14ac:dyDescent="0.25"/>
  <cols>
    <col min="1" max="1" width="8.85546875" customWidth="1"/>
    <col min="2" max="2" width="11.85546875" customWidth="1"/>
    <col min="8" max="8" width="11.7109375" customWidth="1"/>
  </cols>
  <sheetData>
    <row r="1" spans="1:11" x14ac:dyDescent="0.25">
      <c r="A1" s="38" t="s">
        <v>14</v>
      </c>
      <c r="B1" s="38"/>
      <c r="C1" s="38"/>
      <c r="D1" s="38"/>
      <c r="E1" s="38"/>
      <c r="F1" s="19"/>
      <c r="G1" s="65" t="s">
        <v>16</v>
      </c>
      <c r="H1" s="66"/>
      <c r="I1" s="66"/>
      <c r="J1" s="66"/>
      <c r="K1" s="67"/>
    </row>
    <row r="2" spans="1:11" x14ac:dyDescent="0.25">
      <c r="A2" s="38"/>
      <c r="B2" s="38"/>
      <c r="C2" s="38"/>
      <c r="D2" s="38"/>
      <c r="E2" s="38"/>
      <c r="F2" s="19"/>
      <c r="G2" s="68"/>
      <c r="H2" s="69"/>
      <c r="I2" s="69"/>
      <c r="J2" s="69"/>
      <c r="K2" s="70"/>
    </row>
    <row r="3" spans="1:11" ht="15.75" thickBot="1" x14ac:dyDescent="0.3">
      <c r="A3" s="19"/>
      <c r="B3" s="19"/>
      <c r="C3" s="19"/>
      <c r="D3" s="19"/>
      <c r="E3" s="19"/>
      <c r="F3" s="19"/>
      <c r="G3" s="68"/>
      <c r="H3" s="69"/>
      <c r="I3" s="69"/>
      <c r="J3" s="69"/>
      <c r="K3" s="70"/>
    </row>
    <row r="4" spans="1:11" ht="15.75" thickBot="1" x14ac:dyDescent="0.3">
      <c r="A4" s="61" t="s">
        <v>15</v>
      </c>
      <c r="B4" s="62"/>
      <c r="C4" s="11" t="s">
        <v>0</v>
      </c>
      <c r="D4" s="12" t="s">
        <v>1</v>
      </c>
      <c r="E4" s="13" t="s">
        <v>2</v>
      </c>
      <c r="F4" s="19"/>
      <c r="G4" s="68"/>
      <c r="H4" s="69"/>
      <c r="I4" s="69"/>
      <c r="J4" s="69"/>
      <c r="K4" s="70"/>
    </row>
    <row r="5" spans="1:11" ht="15.75" thickBot="1" x14ac:dyDescent="0.3">
      <c r="A5" s="63"/>
      <c r="B5" s="64"/>
      <c r="C5" s="8">
        <v>-1</v>
      </c>
      <c r="D5" s="9">
        <v>1</v>
      </c>
      <c r="E5" s="10">
        <v>1</v>
      </c>
      <c r="F5" s="19"/>
      <c r="G5" s="68"/>
      <c r="H5" s="69"/>
      <c r="I5" s="69"/>
      <c r="J5" s="69"/>
      <c r="K5" s="70"/>
    </row>
    <row r="6" spans="1:11" ht="15.75" thickBot="1" x14ac:dyDescent="0.3">
      <c r="A6" s="19"/>
      <c r="B6" s="19"/>
      <c r="C6" s="19"/>
      <c r="D6" s="19"/>
      <c r="E6" s="19"/>
      <c r="F6" s="19"/>
      <c r="G6" s="68"/>
      <c r="H6" s="69"/>
      <c r="I6" s="69"/>
      <c r="J6" s="69"/>
      <c r="K6" s="70"/>
    </row>
    <row r="7" spans="1:11" ht="15.75" thickBot="1" x14ac:dyDescent="0.3">
      <c r="A7" s="35" t="s">
        <v>7</v>
      </c>
      <c r="B7" s="2" t="s">
        <v>5</v>
      </c>
      <c r="C7" s="3">
        <v>1</v>
      </c>
      <c r="D7" s="3">
        <v>2</v>
      </c>
      <c r="E7" s="4">
        <v>3</v>
      </c>
      <c r="F7" s="19"/>
      <c r="G7" s="68"/>
      <c r="H7" s="69"/>
      <c r="I7" s="69"/>
      <c r="J7" s="69"/>
      <c r="K7" s="70"/>
    </row>
    <row r="8" spans="1:11" x14ac:dyDescent="0.25">
      <c r="A8" s="36"/>
      <c r="B8" s="5">
        <v>1</v>
      </c>
      <c r="C8" s="74">
        <f>1/3</f>
        <v>0.33333333333333331</v>
      </c>
      <c r="D8" s="75">
        <f>C5*D5/3</f>
        <v>-0.33333333333333331</v>
      </c>
      <c r="E8" s="76">
        <f>C5*E5/3</f>
        <v>-0.33333333333333331</v>
      </c>
      <c r="F8" s="19"/>
      <c r="G8" s="68"/>
      <c r="H8" s="69"/>
      <c r="I8" s="69"/>
      <c r="J8" s="69"/>
      <c r="K8" s="70"/>
    </row>
    <row r="9" spans="1:11" x14ac:dyDescent="0.25">
      <c r="A9" s="36"/>
      <c r="B9" s="5">
        <v>2</v>
      </c>
      <c r="C9" s="77">
        <f>D8</f>
        <v>-0.33333333333333331</v>
      </c>
      <c r="D9" s="78">
        <f>1/3</f>
        <v>0.33333333333333331</v>
      </c>
      <c r="E9" s="79">
        <f>E5*D5/3</f>
        <v>0.33333333333333331</v>
      </c>
      <c r="F9" s="19"/>
      <c r="G9" s="68"/>
      <c r="H9" s="69"/>
      <c r="I9" s="69"/>
      <c r="J9" s="69"/>
      <c r="K9" s="70"/>
    </row>
    <row r="10" spans="1:11" ht="15.75" thickBot="1" x14ac:dyDescent="0.3">
      <c r="A10" s="37"/>
      <c r="B10" s="7">
        <v>3</v>
      </c>
      <c r="C10" s="80">
        <f>E8</f>
        <v>-0.33333333333333331</v>
      </c>
      <c r="D10" s="81">
        <f>E9</f>
        <v>0.33333333333333331</v>
      </c>
      <c r="E10" s="82">
        <f>1/3</f>
        <v>0.33333333333333331</v>
      </c>
      <c r="F10" s="19"/>
      <c r="G10" s="68"/>
      <c r="H10" s="69"/>
      <c r="I10" s="69"/>
      <c r="J10" s="69"/>
      <c r="K10" s="70"/>
    </row>
    <row r="11" spans="1:11" ht="15.75" thickBot="1" x14ac:dyDescent="0.3">
      <c r="A11" s="19"/>
      <c r="B11" s="19"/>
      <c r="C11" s="19"/>
      <c r="D11" s="19"/>
      <c r="E11" s="19"/>
      <c r="F11" s="19"/>
      <c r="G11" s="68"/>
      <c r="H11" s="69"/>
      <c r="I11" s="69"/>
      <c r="J11" s="69"/>
      <c r="K11" s="70"/>
    </row>
    <row r="12" spans="1:11" x14ac:dyDescent="0.25">
      <c r="A12" s="15" t="s">
        <v>6</v>
      </c>
      <c r="B12" s="16"/>
      <c r="C12" s="3" t="s">
        <v>0</v>
      </c>
      <c r="D12" s="3" t="s">
        <v>1</v>
      </c>
      <c r="E12" s="4" t="s">
        <v>2</v>
      </c>
      <c r="F12" s="19"/>
      <c r="G12" s="68"/>
      <c r="H12" s="69"/>
      <c r="I12" s="69"/>
      <c r="J12" s="69"/>
      <c r="K12" s="70"/>
    </row>
    <row r="13" spans="1:11" ht="15.75" thickBot="1" x14ac:dyDescent="0.3">
      <c r="A13" s="17"/>
      <c r="B13" s="18"/>
      <c r="C13" s="33">
        <v>1</v>
      </c>
      <c r="D13" s="33">
        <v>1</v>
      </c>
      <c r="E13" s="34">
        <v>-1</v>
      </c>
      <c r="F13" s="19"/>
      <c r="G13" s="71"/>
      <c r="H13" s="72"/>
      <c r="I13" s="72"/>
      <c r="J13" s="72"/>
      <c r="K13" s="73"/>
    </row>
    <row r="14" spans="1:11" x14ac:dyDescent="0.25">
      <c r="A14" s="19"/>
      <c r="B14" s="19"/>
      <c r="C14" s="19"/>
      <c r="D14" s="19"/>
      <c r="E14" s="19"/>
      <c r="F14" s="19"/>
      <c r="G14" s="50"/>
      <c r="H14" s="50"/>
      <c r="I14" s="50"/>
      <c r="J14" s="50"/>
      <c r="K14" s="50"/>
    </row>
    <row r="15" spans="1:1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5">
      <c r="A16" s="38" t="s">
        <v>8</v>
      </c>
      <c r="B16" s="38"/>
      <c r="C16" s="38"/>
      <c r="D16" s="38"/>
      <c r="E16" s="38"/>
      <c r="F16" s="19"/>
      <c r="G16" s="38" t="s">
        <v>10</v>
      </c>
      <c r="H16" s="38"/>
      <c r="I16" s="38"/>
      <c r="J16" s="38"/>
      <c r="K16" s="38"/>
    </row>
    <row r="17" spans="1:11" x14ac:dyDescent="0.25">
      <c r="A17" s="38"/>
      <c r="B17" s="38"/>
      <c r="C17" s="38"/>
      <c r="D17" s="38"/>
      <c r="E17" s="38"/>
      <c r="F17" s="19"/>
      <c r="G17" s="38"/>
      <c r="H17" s="38"/>
      <c r="I17" s="38"/>
      <c r="J17" s="38"/>
      <c r="K17" s="38"/>
    </row>
    <row r="18" spans="1:11" ht="15.75" thickBot="1" x14ac:dyDescent="0.3">
      <c r="A18" s="43"/>
      <c r="B18" s="43"/>
      <c r="C18" s="43"/>
      <c r="D18" s="43"/>
      <c r="E18" s="43"/>
      <c r="F18" s="19"/>
      <c r="G18" s="43"/>
      <c r="H18" s="43"/>
      <c r="I18" s="43"/>
      <c r="J18" s="43"/>
      <c r="K18" s="43"/>
    </row>
    <row r="19" spans="1:11" x14ac:dyDescent="0.25">
      <c r="A19" s="44" t="s">
        <v>11</v>
      </c>
      <c r="B19" s="55"/>
      <c r="C19" s="46" t="s">
        <v>0</v>
      </c>
      <c r="D19" s="46" t="s">
        <v>1</v>
      </c>
      <c r="E19" s="47" t="s">
        <v>2</v>
      </c>
      <c r="F19" s="19"/>
      <c r="G19" s="44" t="s">
        <v>11</v>
      </c>
      <c r="H19" s="55"/>
      <c r="I19" s="46" t="s">
        <v>0</v>
      </c>
      <c r="J19" s="46" t="s">
        <v>1</v>
      </c>
      <c r="K19" s="47" t="s">
        <v>2</v>
      </c>
    </row>
    <row r="20" spans="1:11" ht="15.75" thickBot="1" x14ac:dyDescent="0.3">
      <c r="A20" s="57"/>
      <c r="B20" s="14"/>
      <c r="C20" s="48">
        <f>C131</f>
        <v>1</v>
      </c>
      <c r="D20" s="48">
        <f>C132</f>
        <v>-1</v>
      </c>
      <c r="E20" s="49">
        <f>C133</f>
        <v>-1</v>
      </c>
      <c r="F20" s="19"/>
      <c r="G20" s="57"/>
      <c r="H20" s="14"/>
      <c r="I20" s="48">
        <f ca="1">I131</f>
        <v>1</v>
      </c>
      <c r="J20" s="48">
        <f ca="1">I132</f>
        <v>-1</v>
      </c>
      <c r="K20" s="49">
        <f ca="1">I133</f>
        <v>-1</v>
      </c>
    </row>
    <row r="21" spans="1:11" ht="15.75" thickBot="1" x14ac:dyDescent="0.3">
      <c r="A21" s="45"/>
      <c r="B21" s="56"/>
      <c r="C21" s="58" t="str">
        <f>IF(AND(C20=$C$5,D20=$D$5,E20=$E$5),"Padrão igual a ksi",IF(AND(C20=-$C$5,D20=-$D$5,E20=-$E$5),"Padrão igual a -ksi","Padrão não armazenado"))</f>
        <v>Padrão igual a -ksi</v>
      </c>
      <c r="D21" s="59"/>
      <c r="E21" s="60"/>
      <c r="F21" s="19"/>
      <c r="G21" s="45"/>
      <c r="H21" s="56"/>
      <c r="I21" s="58" t="str">
        <f ca="1">IF(AND(I20=$C$5,J20=$D$5,K20=$E$5),"Padrão igual a ksi",IF(AND(I20=-$C$5,J20=-$D$5,K20=-$E$5),"Padrão igual a -ksi","Padrão não armazenado"))</f>
        <v>Padrão igual a -ksi</v>
      </c>
      <c r="J21" s="59"/>
      <c r="K21" s="60"/>
    </row>
    <row r="22" spans="1:11" ht="12.75" customHeight="1" thickBot="1" x14ac:dyDescent="0.3">
      <c r="A22" s="19"/>
      <c r="B22" s="19"/>
      <c r="C22" s="51"/>
      <c r="D22" s="51"/>
      <c r="E22" s="19"/>
      <c r="F22" s="19"/>
      <c r="G22" s="19"/>
      <c r="H22" s="19"/>
      <c r="I22" s="51"/>
      <c r="J22" s="51"/>
      <c r="K22" s="51"/>
    </row>
    <row r="23" spans="1:11" ht="12.75" customHeight="1" x14ac:dyDescent="0.25">
      <c r="A23" s="20" t="s">
        <v>4</v>
      </c>
      <c r="B23" s="52" t="s">
        <v>12</v>
      </c>
      <c r="C23" s="39" t="s">
        <v>3</v>
      </c>
      <c r="D23" s="39"/>
      <c r="E23" s="40"/>
      <c r="F23" s="19"/>
      <c r="G23" s="20" t="s">
        <v>4</v>
      </c>
      <c r="H23" s="52" t="s">
        <v>13</v>
      </c>
      <c r="I23" s="39" t="s">
        <v>3</v>
      </c>
      <c r="J23" s="39"/>
      <c r="K23" s="40"/>
    </row>
    <row r="24" spans="1:11" x14ac:dyDescent="0.25">
      <c r="A24" s="21"/>
      <c r="B24" s="53"/>
      <c r="C24" s="41" t="s">
        <v>0</v>
      </c>
      <c r="D24" s="41" t="s">
        <v>1</v>
      </c>
      <c r="E24" s="42" t="s">
        <v>2</v>
      </c>
      <c r="F24" s="19"/>
      <c r="G24" s="21"/>
      <c r="H24" s="53"/>
      <c r="I24" s="41" t="s">
        <v>0</v>
      </c>
      <c r="J24" s="41" t="s">
        <v>1</v>
      </c>
      <c r="K24" s="42" t="s">
        <v>2</v>
      </c>
    </row>
    <row r="25" spans="1:11" ht="14.25" customHeight="1" thickBot="1" x14ac:dyDescent="0.3">
      <c r="A25" s="21"/>
      <c r="B25" s="54"/>
      <c r="C25" s="1">
        <f>C13</f>
        <v>1</v>
      </c>
      <c r="D25" s="1">
        <f>D13</f>
        <v>1</v>
      </c>
      <c r="E25" s="6">
        <f>E13</f>
        <v>-1</v>
      </c>
      <c r="F25" s="19"/>
      <c r="G25" s="21"/>
      <c r="H25" s="22">
        <f ca="1">RANDBETWEEN(1,3)</f>
        <v>1</v>
      </c>
      <c r="I25" s="1">
        <f>C13</f>
        <v>1</v>
      </c>
      <c r="J25" s="1">
        <f t="shared" ref="J25:K25" si="0">D13</f>
        <v>1</v>
      </c>
      <c r="K25" s="6">
        <f>E13</f>
        <v>-1</v>
      </c>
    </row>
    <row r="26" spans="1:11" ht="15" customHeight="1" x14ac:dyDescent="0.25">
      <c r="A26" s="21"/>
      <c r="B26" s="24" t="s">
        <v>0</v>
      </c>
      <c r="C26" s="27">
        <f>IF($C$8*C25+$D$8*D25+$E$8*E25&gt;0,1,-1)</f>
        <v>1</v>
      </c>
      <c r="D26" s="27"/>
      <c r="E26" s="28"/>
      <c r="F26" s="19"/>
      <c r="G26" s="21"/>
      <c r="H26" s="24" t="s">
        <v>0</v>
      </c>
      <c r="I26" s="27">
        <f ca="1">IF(H25=1,IF($C$8*I25+$D$8*J25+$E$8*K25&gt;0,1,-1),I25)</f>
        <v>1</v>
      </c>
      <c r="J26" s="27"/>
      <c r="K26" s="28"/>
    </row>
    <row r="27" spans="1:11" x14ac:dyDescent="0.25">
      <c r="A27" s="21"/>
      <c r="B27" s="25" t="s">
        <v>1</v>
      </c>
      <c r="C27" s="29">
        <f>IF($C$9*C25+$D$9*D25+$E$9*E25&gt;0,1,-1)</f>
        <v>-1</v>
      </c>
      <c r="D27" s="29"/>
      <c r="E27" s="30"/>
      <c r="F27" s="19"/>
      <c r="G27" s="21"/>
      <c r="H27" s="25" t="s">
        <v>1</v>
      </c>
      <c r="I27" s="29">
        <f ca="1">IF(H25=2,IF($C$9*I25+$D$9*J25+$E$9*K25&gt;0,1,-1),J25)</f>
        <v>1</v>
      </c>
      <c r="J27" s="29"/>
      <c r="K27" s="30"/>
    </row>
    <row r="28" spans="1:11" ht="15.75" thickBot="1" x14ac:dyDescent="0.3">
      <c r="A28" s="23"/>
      <c r="B28" s="26" t="s">
        <v>2</v>
      </c>
      <c r="C28" s="31">
        <f>IF($C$10*C25+$D$10*D25+$E$10*E25&gt;0,1,-1)</f>
        <v>-1</v>
      </c>
      <c r="D28" s="31"/>
      <c r="E28" s="32"/>
      <c r="F28" s="19"/>
      <c r="G28" s="23"/>
      <c r="H28" s="26" t="s">
        <v>2</v>
      </c>
      <c r="I28" s="31">
        <f ca="1">IF(H25=3,IF($C$10*I25+$D$10*J25+$E$10*K25&gt;0,1,-1),K25)</f>
        <v>-1</v>
      </c>
      <c r="J28" s="31"/>
      <c r="K28" s="32"/>
    </row>
    <row r="29" spans="1:11" ht="15.75" thickBot="1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5" customHeight="1" x14ac:dyDescent="0.25">
      <c r="A30" s="20" t="s">
        <v>4</v>
      </c>
      <c r="B30" s="52" t="s">
        <v>12</v>
      </c>
      <c r="C30" s="39" t="s">
        <v>3</v>
      </c>
      <c r="D30" s="39"/>
      <c r="E30" s="40"/>
      <c r="F30" s="19"/>
      <c r="G30" s="20" t="s">
        <v>4</v>
      </c>
      <c r="H30" s="52" t="s">
        <v>13</v>
      </c>
      <c r="I30" s="39" t="s">
        <v>3</v>
      </c>
      <c r="J30" s="39"/>
      <c r="K30" s="40"/>
    </row>
    <row r="31" spans="1:11" x14ac:dyDescent="0.25">
      <c r="A31" s="21"/>
      <c r="B31" s="53"/>
      <c r="C31" s="41" t="s">
        <v>0</v>
      </c>
      <c r="D31" s="41" t="s">
        <v>1</v>
      </c>
      <c r="E31" s="42" t="s">
        <v>2</v>
      </c>
      <c r="F31" s="19"/>
      <c r="G31" s="21"/>
      <c r="H31" s="53"/>
      <c r="I31" s="41" t="s">
        <v>0</v>
      </c>
      <c r="J31" s="41" t="s">
        <v>1</v>
      </c>
      <c r="K31" s="42" t="s">
        <v>2</v>
      </c>
    </row>
    <row r="32" spans="1:11" ht="15.75" thickBot="1" x14ac:dyDescent="0.3">
      <c r="A32" s="21"/>
      <c r="B32" s="54"/>
      <c r="C32" s="1">
        <f>C26</f>
        <v>1</v>
      </c>
      <c r="D32" s="1">
        <f>C27</f>
        <v>-1</v>
      </c>
      <c r="E32" s="6">
        <f>C28</f>
        <v>-1</v>
      </c>
      <c r="F32" s="19"/>
      <c r="G32" s="21"/>
      <c r="H32" s="22">
        <f ca="1">RANDBETWEEN(1,3)</f>
        <v>3</v>
      </c>
      <c r="I32" s="1">
        <f ca="1">I26</f>
        <v>1</v>
      </c>
      <c r="J32" s="1">
        <f ca="1">I27</f>
        <v>1</v>
      </c>
      <c r="K32" s="6">
        <f ca="1">I28</f>
        <v>-1</v>
      </c>
    </row>
    <row r="33" spans="1:11" x14ac:dyDescent="0.25">
      <c r="A33" s="21"/>
      <c r="B33" s="24" t="s">
        <v>0</v>
      </c>
      <c r="C33" s="27">
        <f>IF($C$8*C32+$D$8*D32+$E$8*E32&gt;0,1,-1)</f>
        <v>1</v>
      </c>
      <c r="D33" s="27"/>
      <c r="E33" s="28"/>
      <c r="F33" s="19"/>
      <c r="G33" s="21"/>
      <c r="H33" s="24" t="s">
        <v>0</v>
      </c>
      <c r="I33" s="27">
        <f ca="1">IF(H32=1,IF($C$8*I32+$D$8*J32+$E$8*K32&gt;0,1,-1),I32)</f>
        <v>1</v>
      </c>
      <c r="J33" s="27"/>
      <c r="K33" s="28"/>
    </row>
    <row r="34" spans="1:11" x14ac:dyDescent="0.25">
      <c r="A34" s="21"/>
      <c r="B34" s="25" t="s">
        <v>1</v>
      </c>
      <c r="C34" s="29">
        <f>IF($C$9*C32+$D$9*D32+$E$9*E32&gt;0,1,-1)</f>
        <v>-1</v>
      </c>
      <c r="D34" s="29"/>
      <c r="E34" s="30"/>
      <c r="F34" s="19"/>
      <c r="G34" s="21"/>
      <c r="H34" s="25" t="s">
        <v>1</v>
      </c>
      <c r="I34" s="29">
        <f ca="1">IF(H32=2,IF($C$9*I32+$D$9*J32+$E$9*K32&gt;0,1,-1),J32)</f>
        <v>1</v>
      </c>
      <c r="J34" s="29"/>
      <c r="K34" s="30"/>
    </row>
    <row r="35" spans="1:11" ht="15.75" thickBot="1" x14ac:dyDescent="0.3">
      <c r="A35" s="23"/>
      <c r="B35" s="26" t="s">
        <v>2</v>
      </c>
      <c r="C35" s="31">
        <f>IF($C$10*C32+$D$10*D32+$E$10*E32&gt;0,1,-1)</f>
        <v>-1</v>
      </c>
      <c r="D35" s="31"/>
      <c r="E35" s="32"/>
      <c r="F35" s="19"/>
      <c r="G35" s="23"/>
      <c r="H35" s="26" t="s">
        <v>2</v>
      </c>
      <c r="I35" s="31">
        <f ca="1">IF(H32=3,IF($C$10*I32+$D$10*J32+$E$10*K32&gt;0,1,-1),K32)</f>
        <v>-1</v>
      </c>
      <c r="J35" s="31"/>
      <c r="K35" s="32"/>
    </row>
    <row r="36" spans="1:11" ht="15.75" thickBo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5" customHeight="1" x14ac:dyDescent="0.25">
      <c r="A37" s="20" t="s">
        <v>4</v>
      </c>
      <c r="B37" s="52" t="s">
        <v>12</v>
      </c>
      <c r="C37" s="39" t="s">
        <v>3</v>
      </c>
      <c r="D37" s="39"/>
      <c r="E37" s="40"/>
      <c r="F37" s="19"/>
      <c r="G37" s="20" t="s">
        <v>4</v>
      </c>
      <c r="H37" s="52" t="s">
        <v>13</v>
      </c>
      <c r="I37" s="39" t="s">
        <v>3</v>
      </c>
      <c r="J37" s="39"/>
      <c r="K37" s="40"/>
    </row>
    <row r="38" spans="1:11" x14ac:dyDescent="0.25">
      <c r="A38" s="21"/>
      <c r="B38" s="53"/>
      <c r="C38" s="41" t="s">
        <v>0</v>
      </c>
      <c r="D38" s="41" t="s">
        <v>1</v>
      </c>
      <c r="E38" s="42" t="s">
        <v>2</v>
      </c>
      <c r="F38" s="19"/>
      <c r="G38" s="21"/>
      <c r="H38" s="53"/>
      <c r="I38" s="41" t="s">
        <v>0</v>
      </c>
      <c r="J38" s="41" t="s">
        <v>1</v>
      </c>
      <c r="K38" s="42" t="s">
        <v>2</v>
      </c>
    </row>
    <row r="39" spans="1:11" ht="15.75" thickBot="1" x14ac:dyDescent="0.3">
      <c r="A39" s="21"/>
      <c r="B39" s="54"/>
      <c r="C39" s="1">
        <f>C33</f>
        <v>1</v>
      </c>
      <c r="D39" s="1">
        <f>C34</f>
        <v>-1</v>
      </c>
      <c r="E39" s="6">
        <f>C35</f>
        <v>-1</v>
      </c>
      <c r="F39" s="19"/>
      <c r="G39" s="21"/>
      <c r="H39" s="22">
        <f ca="1">RANDBETWEEN(1,3)</f>
        <v>3</v>
      </c>
      <c r="I39" s="1">
        <f ca="1">I33</f>
        <v>1</v>
      </c>
      <c r="J39" s="1">
        <f ca="1">I34</f>
        <v>1</v>
      </c>
      <c r="K39" s="6">
        <f ca="1">I35</f>
        <v>-1</v>
      </c>
    </row>
    <row r="40" spans="1:11" x14ac:dyDescent="0.25">
      <c r="A40" s="21"/>
      <c r="B40" s="24" t="s">
        <v>0</v>
      </c>
      <c r="C40" s="27">
        <f>IF($C$8*C39+$D$8*D39+$E$8*E39&gt;0,1,-1)</f>
        <v>1</v>
      </c>
      <c r="D40" s="27"/>
      <c r="E40" s="28"/>
      <c r="F40" s="19"/>
      <c r="G40" s="21"/>
      <c r="H40" s="24" t="s">
        <v>0</v>
      </c>
      <c r="I40" s="27">
        <f ca="1">IF(H39=1,IF($C$8*I39+$D$8*J39+$E$8*K39&gt;0,1,-1),I39)</f>
        <v>1</v>
      </c>
      <c r="J40" s="27"/>
      <c r="K40" s="28"/>
    </row>
    <row r="41" spans="1:11" x14ac:dyDescent="0.25">
      <c r="A41" s="21"/>
      <c r="B41" s="25" t="s">
        <v>1</v>
      </c>
      <c r="C41" s="29">
        <f>IF($C$9*C39+$D$9*D39+$E$9*E39&gt;0,1,-1)</f>
        <v>-1</v>
      </c>
      <c r="D41" s="29"/>
      <c r="E41" s="30"/>
      <c r="F41" s="19"/>
      <c r="G41" s="21"/>
      <c r="H41" s="25" t="s">
        <v>1</v>
      </c>
      <c r="I41" s="29">
        <f ca="1">IF(H39=2,IF($C$9*I39+$D$9*J39+$E$9*K39&gt;0,1,-1),J39)</f>
        <v>1</v>
      </c>
      <c r="J41" s="29"/>
      <c r="K41" s="30"/>
    </row>
    <row r="42" spans="1:11" ht="15.75" thickBot="1" x14ac:dyDescent="0.3">
      <c r="A42" s="23"/>
      <c r="B42" s="26" t="s">
        <v>2</v>
      </c>
      <c r="C42" s="31">
        <f>IF($C$10*C39+$D$10*D39+$E$10*E39&gt;0,1,-1)</f>
        <v>-1</v>
      </c>
      <c r="D42" s="31"/>
      <c r="E42" s="32"/>
      <c r="F42" s="19"/>
      <c r="G42" s="23"/>
      <c r="H42" s="26" t="s">
        <v>2</v>
      </c>
      <c r="I42" s="31">
        <f ca="1">IF(H39=3,IF($C$10*I39+$D$10*J39+$E$10*K39&gt;0,1,-1),K39)</f>
        <v>-1</v>
      </c>
      <c r="J42" s="31"/>
      <c r="K42" s="32"/>
    </row>
    <row r="43" spans="1:11" ht="15.75" thickBot="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ht="15" customHeight="1" x14ac:dyDescent="0.25">
      <c r="A44" s="20" t="s">
        <v>4</v>
      </c>
      <c r="B44" s="52" t="s">
        <v>12</v>
      </c>
      <c r="C44" s="39" t="s">
        <v>3</v>
      </c>
      <c r="D44" s="39"/>
      <c r="E44" s="40"/>
      <c r="F44" s="19"/>
      <c r="G44" s="20" t="s">
        <v>4</v>
      </c>
      <c r="H44" s="52" t="s">
        <v>13</v>
      </c>
      <c r="I44" s="39" t="s">
        <v>3</v>
      </c>
      <c r="J44" s="39"/>
      <c r="K44" s="40"/>
    </row>
    <row r="45" spans="1:11" x14ac:dyDescent="0.25">
      <c r="A45" s="21"/>
      <c r="B45" s="53"/>
      <c r="C45" s="41" t="s">
        <v>0</v>
      </c>
      <c r="D45" s="41" t="s">
        <v>1</v>
      </c>
      <c r="E45" s="42" t="s">
        <v>2</v>
      </c>
      <c r="F45" s="19"/>
      <c r="G45" s="21"/>
      <c r="H45" s="53"/>
      <c r="I45" s="41" t="s">
        <v>0</v>
      </c>
      <c r="J45" s="41" t="s">
        <v>1</v>
      </c>
      <c r="K45" s="42" t="s">
        <v>2</v>
      </c>
    </row>
    <row r="46" spans="1:11" ht="15.75" thickBot="1" x14ac:dyDescent="0.3">
      <c r="A46" s="21"/>
      <c r="B46" s="54"/>
      <c r="C46" s="1">
        <f>C40</f>
        <v>1</v>
      </c>
      <c r="D46" s="1">
        <f>C41</f>
        <v>-1</v>
      </c>
      <c r="E46" s="6">
        <f>C42</f>
        <v>-1</v>
      </c>
      <c r="F46" s="19"/>
      <c r="G46" s="21"/>
      <c r="H46" s="22">
        <f ca="1">RANDBETWEEN(1,3)</f>
        <v>3</v>
      </c>
      <c r="I46" s="1">
        <f ca="1">I40</f>
        <v>1</v>
      </c>
      <c r="J46" s="1">
        <f ca="1">I41</f>
        <v>1</v>
      </c>
      <c r="K46" s="6">
        <f ca="1">I42</f>
        <v>-1</v>
      </c>
    </row>
    <row r="47" spans="1:11" x14ac:dyDescent="0.25">
      <c r="A47" s="21"/>
      <c r="B47" s="24" t="s">
        <v>0</v>
      </c>
      <c r="C47" s="27">
        <f>IF($C$8*C46+$D$8*D46+$E$8*E46&gt;0,1,-1)</f>
        <v>1</v>
      </c>
      <c r="D47" s="27"/>
      <c r="E47" s="28"/>
      <c r="F47" s="19"/>
      <c r="G47" s="21"/>
      <c r="H47" s="24" t="s">
        <v>0</v>
      </c>
      <c r="I47" s="27">
        <f ca="1">IF(H46=1,IF($C$8*I46+$D$8*J46+$E$8*K46&gt;0,1,-1),I46)</f>
        <v>1</v>
      </c>
      <c r="J47" s="27"/>
      <c r="K47" s="28"/>
    </row>
    <row r="48" spans="1:11" x14ac:dyDescent="0.25">
      <c r="A48" s="21"/>
      <c r="B48" s="25" t="s">
        <v>1</v>
      </c>
      <c r="C48" s="29">
        <f>IF($C$9*C46+$D$9*D46+$E$9*E46&gt;0,1,-1)</f>
        <v>-1</v>
      </c>
      <c r="D48" s="29"/>
      <c r="E48" s="30"/>
      <c r="F48" s="19"/>
      <c r="G48" s="21"/>
      <c r="H48" s="25" t="s">
        <v>1</v>
      </c>
      <c r="I48" s="29">
        <f ca="1">IF(H46=2,IF($C$9*I46+$D$9*J46+$E$9*K46&gt;0,1,-1),J46)</f>
        <v>1</v>
      </c>
      <c r="J48" s="29"/>
      <c r="K48" s="30"/>
    </row>
    <row r="49" spans="1:11" ht="15.75" thickBot="1" x14ac:dyDescent="0.3">
      <c r="A49" s="23"/>
      <c r="B49" s="26" t="s">
        <v>2</v>
      </c>
      <c r="C49" s="31">
        <f>IF($C$10*C46+$D$10*D46+$E$10*E46&gt;0,1,-1)</f>
        <v>-1</v>
      </c>
      <c r="D49" s="31"/>
      <c r="E49" s="32"/>
      <c r="F49" s="19"/>
      <c r="G49" s="23"/>
      <c r="H49" s="26" t="s">
        <v>2</v>
      </c>
      <c r="I49" s="31">
        <f ca="1">IF(H46=3,IF($C$10*I46+$D$10*J46+$E$10*K46&gt;0,1,-1),K46)</f>
        <v>-1</v>
      </c>
      <c r="J49" s="31"/>
      <c r="K49" s="32"/>
    </row>
    <row r="50" spans="1:11" ht="15.75" thickBo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ht="15" customHeight="1" x14ac:dyDescent="0.25">
      <c r="A51" s="20" t="s">
        <v>4</v>
      </c>
      <c r="B51" s="52" t="s">
        <v>12</v>
      </c>
      <c r="C51" s="39" t="s">
        <v>3</v>
      </c>
      <c r="D51" s="39"/>
      <c r="E51" s="40"/>
      <c r="F51" s="19"/>
      <c r="G51" s="20" t="s">
        <v>4</v>
      </c>
      <c r="H51" s="52" t="s">
        <v>13</v>
      </c>
      <c r="I51" s="39" t="s">
        <v>3</v>
      </c>
      <c r="J51" s="39"/>
      <c r="K51" s="40"/>
    </row>
    <row r="52" spans="1:11" x14ac:dyDescent="0.25">
      <c r="A52" s="21"/>
      <c r="B52" s="53"/>
      <c r="C52" s="41" t="s">
        <v>0</v>
      </c>
      <c r="D52" s="41" t="s">
        <v>1</v>
      </c>
      <c r="E52" s="42" t="s">
        <v>2</v>
      </c>
      <c r="F52" s="19"/>
      <c r="G52" s="21"/>
      <c r="H52" s="53"/>
      <c r="I52" s="41" t="s">
        <v>0</v>
      </c>
      <c r="J52" s="41" t="s">
        <v>1</v>
      </c>
      <c r="K52" s="42" t="s">
        <v>2</v>
      </c>
    </row>
    <row r="53" spans="1:11" ht="15.75" thickBot="1" x14ac:dyDescent="0.3">
      <c r="A53" s="21"/>
      <c r="B53" s="54"/>
      <c r="C53" s="1">
        <f>C47</f>
        <v>1</v>
      </c>
      <c r="D53" s="1">
        <f>C48</f>
        <v>-1</v>
      </c>
      <c r="E53" s="6">
        <f>C49</f>
        <v>-1</v>
      </c>
      <c r="F53" s="19"/>
      <c r="G53" s="21"/>
      <c r="H53" s="22">
        <f ca="1">RANDBETWEEN(1,3)</f>
        <v>1</v>
      </c>
      <c r="I53" s="1">
        <f ca="1">I47</f>
        <v>1</v>
      </c>
      <c r="J53" s="1">
        <f ca="1">I48</f>
        <v>1</v>
      </c>
      <c r="K53" s="6">
        <f ca="1">I49</f>
        <v>-1</v>
      </c>
    </row>
    <row r="54" spans="1:11" x14ac:dyDescent="0.25">
      <c r="A54" s="21"/>
      <c r="B54" s="24" t="s">
        <v>0</v>
      </c>
      <c r="C54" s="27">
        <f>IF($C$8*C53+$D$8*D53+$E$8*E53&gt;0,1,-1)</f>
        <v>1</v>
      </c>
      <c r="D54" s="27"/>
      <c r="E54" s="28"/>
      <c r="F54" s="19"/>
      <c r="G54" s="21"/>
      <c r="H54" s="24" t="s">
        <v>0</v>
      </c>
      <c r="I54" s="27">
        <f ca="1">IF(H53=1,IF($C$8*I53+$D$8*J53+$E$8*K53&gt;0,1,-1),I53)</f>
        <v>1</v>
      </c>
      <c r="J54" s="27"/>
      <c r="K54" s="28"/>
    </row>
    <row r="55" spans="1:11" x14ac:dyDescent="0.25">
      <c r="A55" s="21"/>
      <c r="B55" s="25" t="s">
        <v>1</v>
      </c>
      <c r="C55" s="29">
        <f>IF($C$9*C53+$D$9*D53+$E$9*E53&gt;0,1,-1)</f>
        <v>-1</v>
      </c>
      <c r="D55" s="29"/>
      <c r="E55" s="30"/>
      <c r="F55" s="19"/>
      <c r="G55" s="21"/>
      <c r="H55" s="25" t="s">
        <v>1</v>
      </c>
      <c r="I55" s="29">
        <f ca="1">IF(H53=2,IF($C$9*I53+$D$9*J53+$E$9*K53&gt;0,1,-1),J53)</f>
        <v>1</v>
      </c>
      <c r="J55" s="29"/>
      <c r="K55" s="30"/>
    </row>
    <row r="56" spans="1:11" ht="15.75" thickBot="1" x14ac:dyDescent="0.3">
      <c r="A56" s="23"/>
      <c r="B56" s="26" t="s">
        <v>2</v>
      </c>
      <c r="C56" s="31">
        <f>IF($C$10*C53+$D$10*D53+$E$10*E53&gt;0,1,-1)</f>
        <v>-1</v>
      </c>
      <c r="D56" s="31"/>
      <c r="E56" s="32"/>
      <c r="F56" s="19"/>
      <c r="G56" s="23"/>
      <c r="H56" s="26" t="s">
        <v>2</v>
      </c>
      <c r="I56" s="31">
        <f ca="1">IF(H53=3,IF($C$10*I53+$D$10*J53+$E$10*K53&gt;0,1,-1),K53)</f>
        <v>-1</v>
      </c>
      <c r="J56" s="31"/>
      <c r="K56" s="32"/>
    </row>
    <row r="57" spans="1:11" ht="15.75" thickBo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5" customHeight="1" x14ac:dyDescent="0.25">
      <c r="A58" s="20" t="s">
        <v>4</v>
      </c>
      <c r="B58" s="52" t="s">
        <v>12</v>
      </c>
      <c r="C58" s="39" t="s">
        <v>3</v>
      </c>
      <c r="D58" s="39"/>
      <c r="E58" s="40"/>
      <c r="F58" s="19"/>
      <c r="G58" s="20" t="s">
        <v>4</v>
      </c>
      <c r="H58" s="52" t="s">
        <v>13</v>
      </c>
      <c r="I58" s="39" t="s">
        <v>3</v>
      </c>
      <c r="J58" s="39"/>
      <c r="K58" s="40"/>
    </row>
    <row r="59" spans="1:11" x14ac:dyDescent="0.25">
      <c r="A59" s="21"/>
      <c r="B59" s="53"/>
      <c r="C59" s="41" t="s">
        <v>0</v>
      </c>
      <c r="D59" s="41" t="s">
        <v>1</v>
      </c>
      <c r="E59" s="42" t="s">
        <v>2</v>
      </c>
      <c r="F59" s="19"/>
      <c r="G59" s="21"/>
      <c r="H59" s="53"/>
      <c r="I59" s="41" t="s">
        <v>0</v>
      </c>
      <c r="J59" s="41" t="s">
        <v>1</v>
      </c>
      <c r="K59" s="42" t="s">
        <v>2</v>
      </c>
    </row>
    <row r="60" spans="1:11" ht="15.75" thickBot="1" x14ac:dyDescent="0.3">
      <c r="A60" s="21"/>
      <c r="B60" s="54"/>
      <c r="C60" s="1">
        <f>C54</f>
        <v>1</v>
      </c>
      <c r="D60" s="1">
        <f>C55</f>
        <v>-1</v>
      </c>
      <c r="E60" s="6">
        <f>C56</f>
        <v>-1</v>
      </c>
      <c r="F60" s="19"/>
      <c r="G60" s="21"/>
      <c r="H60" s="22">
        <f ca="1">RANDBETWEEN(1,3)</f>
        <v>3</v>
      </c>
      <c r="I60" s="1">
        <f ca="1">I54</f>
        <v>1</v>
      </c>
      <c r="J60" s="1">
        <f ca="1">I55</f>
        <v>1</v>
      </c>
      <c r="K60" s="6">
        <f ca="1">I56</f>
        <v>-1</v>
      </c>
    </row>
    <row r="61" spans="1:11" x14ac:dyDescent="0.25">
      <c r="A61" s="21"/>
      <c r="B61" s="24" t="s">
        <v>0</v>
      </c>
      <c r="C61" s="27">
        <f>IF($C$8*C60+$D$8*D60+$E$8*E60&gt;0,1,-1)</f>
        <v>1</v>
      </c>
      <c r="D61" s="27"/>
      <c r="E61" s="28"/>
      <c r="F61" s="19"/>
      <c r="G61" s="21"/>
      <c r="H61" s="24" t="s">
        <v>0</v>
      </c>
      <c r="I61" s="27">
        <f ca="1">IF(H60=1,IF($C$8*I60+$D$8*J60+$E$8*K60&gt;0,1,-1),I60)</f>
        <v>1</v>
      </c>
      <c r="J61" s="27"/>
      <c r="K61" s="28"/>
    </row>
    <row r="62" spans="1:11" x14ac:dyDescent="0.25">
      <c r="A62" s="21"/>
      <c r="B62" s="25" t="s">
        <v>1</v>
      </c>
      <c r="C62" s="29">
        <f>IF($C$9*C60+$D$9*D60+$E$9*E60&gt;0,1,-1)</f>
        <v>-1</v>
      </c>
      <c r="D62" s="29"/>
      <c r="E62" s="30"/>
      <c r="F62" s="19"/>
      <c r="G62" s="21"/>
      <c r="H62" s="25" t="s">
        <v>1</v>
      </c>
      <c r="I62" s="29">
        <f ca="1">IF(H60=2,IF($C$9*I60+$D$9*J60+$E$9*K60&gt;0,1,-1),J60)</f>
        <v>1</v>
      </c>
      <c r="J62" s="29"/>
      <c r="K62" s="30"/>
    </row>
    <row r="63" spans="1:11" ht="15.75" thickBot="1" x14ac:dyDescent="0.3">
      <c r="A63" s="23"/>
      <c r="B63" s="26" t="s">
        <v>2</v>
      </c>
      <c r="C63" s="31">
        <f>IF($C$10*C60+$D$10*D60+$E$10*E60&gt;0,1,-1)</f>
        <v>-1</v>
      </c>
      <c r="D63" s="31"/>
      <c r="E63" s="32"/>
      <c r="F63" s="19"/>
      <c r="G63" s="23"/>
      <c r="H63" s="26" t="s">
        <v>2</v>
      </c>
      <c r="I63" s="31">
        <f ca="1">IF(H60=3,IF($C$10*I60+$D$10*J60+$E$10*K60&gt;0,1,-1),K60)</f>
        <v>-1</v>
      </c>
      <c r="J63" s="31"/>
      <c r="K63" s="32"/>
    </row>
    <row r="64" spans="1:11" ht="15.75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ht="15" customHeight="1" x14ac:dyDescent="0.25">
      <c r="A65" s="20" t="s">
        <v>4</v>
      </c>
      <c r="B65" s="52" t="s">
        <v>12</v>
      </c>
      <c r="C65" s="39" t="s">
        <v>3</v>
      </c>
      <c r="D65" s="39"/>
      <c r="E65" s="40"/>
      <c r="F65" s="19"/>
      <c r="G65" s="20" t="s">
        <v>4</v>
      </c>
      <c r="H65" s="52" t="s">
        <v>13</v>
      </c>
      <c r="I65" s="39" t="s">
        <v>3</v>
      </c>
      <c r="J65" s="39"/>
      <c r="K65" s="40"/>
    </row>
    <row r="66" spans="1:11" x14ac:dyDescent="0.25">
      <c r="A66" s="21"/>
      <c r="B66" s="53"/>
      <c r="C66" s="41" t="s">
        <v>0</v>
      </c>
      <c r="D66" s="41" t="s">
        <v>1</v>
      </c>
      <c r="E66" s="42" t="s">
        <v>2</v>
      </c>
      <c r="F66" s="19"/>
      <c r="G66" s="21"/>
      <c r="H66" s="53"/>
      <c r="I66" s="41" t="s">
        <v>0</v>
      </c>
      <c r="J66" s="41" t="s">
        <v>1</v>
      </c>
      <c r="K66" s="42" t="s">
        <v>2</v>
      </c>
    </row>
    <row r="67" spans="1:11" ht="15.75" thickBot="1" x14ac:dyDescent="0.3">
      <c r="A67" s="21"/>
      <c r="B67" s="54"/>
      <c r="C67" s="1">
        <f>C61</f>
        <v>1</v>
      </c>
      <c r="D67" s="1">
        <f>C62</f>
        <v>-1</v>
      </c>
      <c r="E67" s="6">
        <f>C63</f>
        <v>-1</v>
      </c>
      <c r="F67" s="19"/>
      <c r="G67" s="21"/>
      <c r="H67" s="22">
        <f ca="1">RANDBETWEEN(1,3)</f>
        <v>1</v>
      </c>
      <c r="I67" s="1">
        <f ca="1">I61</f>
        <v>1</v>
      </c>
      <c r="J67" s="1">
        <f ca="1">J60</f>
        <v>1</v>
      </c>
      <c r="K67" s="6">
        <f ca="1">K60</f>
        <v>-1</v>
      </c>
    </row>
    <row r="68" spans="1:11" x14ac:dyDescent="0.25">
      <c r="A68" s="21"/>
      <c r="B68" s="24" t="s">
        <v>0</v>
      </c>
      <c r="C68" s="27">
        <f>IF($C$8*C67+$D$8*D67+$E$8*E67&gt;0,1,-1)</f>
        <v>1</v>
      </c>
      <c r="D68" s="27"/>
      <c r="E68" s="28"/>
      <c r="F68" s="19"/>
      <c r="G68" s="21"/>
      <c r="H68" s="24" t="s">
        <v>0</v>
      </c>
      <c r="I68" s="27">
        <f ca="1">IF(H67=1,IF($C$8*I67+$D$8*J67+$E$8*K67&gt;0,1,-1),I67)</f>
        <v>1</v>
      </c>
      <c r="J68" s="27"/>
      <c r="K68" s="28"/>
    </row>
    <row r="69" spans="1:11" x14ac:dyDescent="0.25">
      <c r="A69" s="21"/>
      <c r="B69" s="25" t="s">
        <v>1</v>
      </c>
      <c r="C69" s="29">
        <f>IF($C$9*C67+$D$9*D67+$E$9*E67&gt;0,1,-1)</f>
        <v>-1</v>
      </c>
      <c r="D69" s="29"/>
      <c r="E69" s="30"/>
      <c r="F69" s="19"/>
      <c r="G69" s="21"/>
      <c r="H69" s="25" t="s">
        <v>1</v>
      </c>
      <c r="I69" s="29">
        <f ca="1">IF(H67=2,IF($C$9*I67+$D$9*J67+$E$9*K67&gt;0,1,-1),J67)</f>
        <v>1</v>
      </c>
      <c r="J69" s="29"/>
      <c r="K69" s="30"/>
    </row>
    <row r="70" spans="1:11" ht="15.75" thickBot="1" x14ac:dyDescent="0.3">
      <c r="A70" s="23"/>
      <c r="B70" s="26" t="s">
        <v>2</v>
      </c>
      <c r="C70" s="31">
        <f>IF($C$10*C67+$D$10*D67+$E$10*E67&gt;0,1,-1)</f>
        <v>-1</v>
      </c>
      <c r="D70" s="31"/>
      <c r="E70" s="32"/>
      <c r="F70" s="19"/>
      <c r="G70" s="23"/>
      <c r="H70" s="26" t="s">
        <v>2</v>
      </c>
      <c r="I70" s="31">
        <f ca="1">IF(H67=3,IF($C$10*I67+$D$10*J67+$E$10*K67&gt;0,1,-1),K67)</f>
        <v>-1</v>
      </c>
      <c r="J70" s="31"/>
      <c r="K70" s="32"/>
    </row>
    <row r="71" spans="1:11" ht="15.75" thickBo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5" customHeight="1" x14ac:dyDescent="0.25">
      <c r="A72" s="20" t="s">
        <v>4</v>
      </c>
      <c r="B72" s="52" t="s">
        <v>12</v>
      </c>
      <c r="C72" s="39" t="s">
        <v>3</v>
      </c>
      <c r="D72" s="39"/>
      <c r="E72" s="40"/>
      <c r="F72" s="19"/>
      <c r="G72" s="20" t="s">
        <v>4</v>
      </c>
      <c r="H72" s="52" t="s">
        <v>13</v>
      </c>
      <c r="I72" s="39" t="s">
        <v>3</v>
      </c>
      <c r="J72" s="39"/>
      <c r="K72" s="40"/>
    </row>
    <row r="73" spans="1:11" x14ac:dyDescent="0.25">
      <c r="A73" s="21"/>
      <c r="B73" s="53"/>
      <c r="C73" s="41" t="s">
        <v>0</v>
      </c>
      <c r="D73" s="41" t="s">
        <v>1</v>
      </c>
      <c r="E73" s="42" t="s">
        <v>2</v>
      </c>
      <c r="F73" s="19"/>
      <c r="G73" s="21"/>
      <c r="H73" s="53"/>
      <c r="I73" s="41" t="s">
        <v>0</v>
      </c>
      <c r="J73" s="41" t="s">
        <v>1</v>
      </c>
      <c r="K73" s="42" t="s">
        <v>2</v>
      </c>
    </row>
    <row r="74" spans="1:11" ht="15.75" thickBot="1" x14ac:dyDescent="0.3">
      <c r="A74" s="21"/>
      <c r="B74" s="54"/>
      <c r="C74" s="1">
        <f>C68</f>
        <v>1</v>
      </c>
      <c r="D74" s="1">
        <f>C69</f>
        <v>-1</v>
      </c>
      <c r="E74" s="6">
        <f>C70</f>
        <v>-1</v>
      </c>
      <c r="F74" s="19"/>
      <c r="G74" s="21"/>
      <c r="H74" s="22">
        <f ca="1">RANDBETWEEN(1,3)</f>
        <v>3</v>
      </c>
      <c r="I74" s="1">
        <f ca="1">I68</f>
        <v>1</v>
      </c>
      <c r="J74" s="1">
        <f ca="1">I69</f>
        <v>1</v>
      </c>
      <c r="K74" s="6">
        <f ca="1">I70</f>
        <v>-1</v>
      </c>
    </row>
    <row r="75" spans="1:11" x14ac:dyDescent="0.25">
      <c r="A75" s="21"/>
      <c r="B75" s="24" t="s">
        <v>0</v>
      </c>
      <c r="C75" s="27">
        <f>IF($C$8*C74+$D$8*D74+$E$8*E74&gt;0,1,-1)</f>
        <v>1</v>
      </c>
      <c r="D75" s="27"/>
      <c r="E75" s="28"/>
      <c r="F75" s="19"/>
      <c r="G75" s="21"/>
      <c r="H75" s="24" t="s">
        <v>0</v>
      </c>
      <c r="I75" s="27">
        <f ca="1">IF(H74=1,IF($C$8*I74+$D$8*J74+$E$8*K74&gt;0,1,-1),I74)</f>
        <v>1</v>
      </c>
      <c r="J75" s="27"/>
      <c r="K75" s="28"/>
    </row>
    <row r="76" spans="1:11" x14ac:dyDescent="0.25">
      <c r="A76" s="21"/>
      <c r="B76" s="25" t="s">
        <v>1</v>
      </c>
      <c r="C76" s="29">
        <f>IF($C$9*C74+$D$9*D74+$E$9*E74&gt;0,1,-1)</f>
        <v>-1</v>
      </c>
      <c r="D76" s="29"/>
      <c r="E76" s="30"/>
      <c r="F76" s="19"/>
      <c r="G76" s="21"/>
      <c r="H76" s="25" t="s">
        <v>1</v>
      </c>
      <c r="I76" s="29">
        <f ca="1">IF(H74=2,IF($C$9*I74+$D$9*J74+$E$9*K74&gt;0,1,-1),J74)</f>
        <v>1</v>
      </c>
      <c r="J76" s="29"/>
      <c r="K76" s="30"/>
    </row>
    <row r="77" spans="1:11" ht="15.75" thickBot="1" x14ac:dyDescent="0.3">
      <c r="A77" s="23"/>
      <c r="B77" s="26" t="s">
        <v>2</v>
      </c>
      <c r="C77" s="31">
        <f>IF($C$10*C74+$D$10*D74+$E$10*E74&gt;0,1,-1)</f>
        <v>-1</v>
      </c>
      <c r="D77" s="31"/>
      <c r="E77" s="32"/>
      <c r="F77" s="19"/>
      <c r="G77" s="23"/>
      <c r="H77" s="26" t="s">
        <v>2</v>
      </c>
      <c r="I77" s="31">
        <f ca="1">IF(H74=3,IF($C$10*I74+$D$10*J74+$E$10*K74&gt;0,1,-1),K74)</f>
        <v>-1</v>
      </c>
      <c r="J77" s="31"/>
      <c r="K77" s="32"/>
    </row>
    <row r="78" spans="1:11" ht="15.75" thickBo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ht="15" customHeight="1" x14ac:dyDescent="0.25">
      <c r="A79" s="20" t="s">
        <v>4</v>
      </c>
      <c r="B79" s="52" t="s">
        <v>12</v>
      </c>
      <c r="C79" s="39" t="s">
        <v>3</v>
      </c>
      <c r="D79" s="39"/>
      <c r="E79" s="40"/>
      <c r="F79" s="19"/>
      <c r="G79" s="20" t="s">
        <v>4</v>
      </c>
      <c r="H79" s="52" t="s">
        <v>13</v>
      </c>
      <c r="I79" s="39" t="s">
        <v>3</v>
      </c>
      <c r="J79" s="39"/>
      <c r="K79" s="40"/>
    </row>
    <row r="80" spans="1:11" x14ac:dyDescent="0.25">
      <c r="A80" s="21"/>
      <c r="B80" s="53"/>
      <c r="C80" s="41" t="s">
        <v>0</v>
      </c>
      <c r="D80" s="41" t="s">
        <v>1</v>
      </c>
      <c r="E80" s="42" t="s">
        <v>2</v>
      </c>
      <c r="F80" s="19"/>
      <c r="G80" s="21"/>
      <c r="H80" s="53"/>
      <c r="I80" s="41" t="s">
        <v>0</v>
      </c>
      <c r="J80" s="41" t="s">
        <v>1</v>
      </c>
      <c r="K80" s="42" t="s">
        <v>2</v>
      </c>
    </row>
    <row r="81" spans="1:11" ht="15.75" thickBot="1" x14ac:dyDescent="0.3">
      <c r="A81" s="21"/>
      <c r="B81" s="54"/>
      <c r="C81" s="1">
        <f>C75</f>
        <v>1</v>
      </c>
      <c r="D81" s="1">
        <f>C76</f>
        <v>-1</v>
      </c>
      <c r="E81" s="6">
        <f>C77</f>
        <v>-1</v>
      </c>
      <c r="F81" s="19"/>
      <c r="G81" s="21"/>
      <c r="H81" s="22">
        <f ca="1">RANDBETWEEN(1,3)</f>
        <v>2</v>
      </c>
      <c r="I81" s="1">
        <f ca="1">I75</f>
        <v>1</v>
      </c>
      <c r="J81" s="1">
        <f ca="1">I76</f>
        <v>1</v>
      </c>
      <c r="K81" s="6">
        <f ca="1">I77</f>
        <v>-1</v>
      </c>
    </row>
    <row r="82" spans="1:11" x14ac:dyDescent="0.25">
      <c r="A82" s="21"/>
      <c r="B82" s="24" t="s">
        <v>0</v>
      </c>
      <c r="C82" s="27">
        <f>IF($C$8*C81+$D$8*D81+$E$8*E81&gt;0,1,-1)</f>
        <v>1</v>
      </c>
      <c r="D82" s="27"/>
      <c r="E82" s="28"/>
      <c r="F82" s="19"/>
      <c r="G82" s="21"/>
      <c r="H82" s="24" t="s">
        <v>0</v>
      </c>
      <c r="I82" s="27">
        <f ca="1">IF(H81=1,IF($C$8*I81+$D$8*J81+$E$8*K81&gt;0,1,-1),I81)</f>
        <v>1</v>
      </c>
      <c r="J82" s="27"/>
      <c r="K82" s="28"/>
    </row>
    <row r="83" spans="1:11" x14ac:dyDescent="0.25">
      <c r="A83" s="21"/>
      <c r="B83" s="25" t="s">
        <v>1</v>
      </c>
      <c r="C83" s="29">
        <f>IF($C$9*C81+$D$9*D81+$E$9*E81&gt;0,1,-1)</f>
        <v>-1</v>
      </c>
      <c r="D83" s="29"/>
      <c r="E83" s="30"/>
      <c r="F83" s="19"/>
      <c r="G83" s="21"/>
      <c r="H83" s="25" t="s">
        <v>1</v>
      </c>
      <c r="I83" s="29">
        <f ca="1">IF(H81=2,IF($C$9*I81+$D$9*J81+$E$9*K81&gt;0,1,-1),J81)</f>
        <v>-1</v>
      </c>
      <c r="J83" s="29"/>
      <c r="K83" s="30"/>
    </row>
    <row r="84" spans="1:11" ht="15.75" thickBot="1" x14ac:dyDescent="0.3">
      <c r="A84" s="23"/>
      <c r="B84" s="26" t="s">
        <v>2</v>
      </c>
      <c r="C84" s="31">
        <f>IF($C$10*C81+$D$10*D81+$E$10*E81&gt;0,1,-1)</f>
        <v>-1</v>
      </c>
      <c r="D84" s="31"/>
      <c r="E84" s="32"/>
      <c r="F84" s="19"/>
      <c r="G84" s="23"/>
      <c r="H84" s="26" t="s">
        <v>2</v>
      </c>
      <c r="I84" s="31">
        <f ca="1">IF(H81=3,IF($C$10*I81+$D$10*J81+$E$10*K81&gt;0,1,-1),K81)</f>
        <v>-1</v>
      </c>
      <c r="J84" s="31"/>
      <c r="K84" s="32"/>
    </row>
    <row r="85" spans="1:11" ht="15.75" thickBot="1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5" customHeight="1" x14ac:dyDescent="0.25">
      <c r="A86" s="20" t="s">
        <v>4</v>
      </c>
      <c r="B86" s="52" t="s">
        <v>12</v>
      </c>
      <c r="C86" s="39" t="s">
        <v>3</v>
      </c>
      <c r="D86" s="39"/>
      <c r="E86" s="40"/>
      <c r="F86" s="19"/>
      <c r="G86" s="20" t="s">
        <v>4</v>
      </c>
      <c r="H86" s="52" t="s">
        <v>13</v>
      </c>
      <c r="I86" s="39" t="s">
        <v>3</v>
      </c>
      <c r="J86" s="39"/>
      <c r="K86" s="40"/>
    </row>
    <row r="87" spans="1:11" x14ac:dyDescent="0.25">
      <c r="A87" s="21"/>
      <c r="B87" s="53"/>
      <c r="C87" s="41" t="s">
        <v>0</v>
      </c>
      <c r="D87" s="41" t="s">
        <v>1</v>
      </c>
      <c r="E87" s="42" t="s">
        <v>2</v>
      </c>
      <c r="F87" s="19"/>
      <c r="G87" s="21"/>
      <c r="H87" s="53"/>
      <c r="I87" s="41" t="s">
        <v>0</v>
      </c>
      <c r="J87" s="41" t="s">
        <v>1</v>
      </c>
      <c r="K87" s="42" t="s">
        <v>2</v>
      </c>
    </row>
    <row r="88" spans="1:11" ht="15.75" thickBot="1" x14ac:dyDescent="0.3">
      <c r="A88" s="21"/>
      <c r="B88" s="54"/>
      <c r="C88" s="1">
        <f>C82</f>
        <v>1</v>
      </c>
      <c r="D88" s="1">
        <f>C83</f>
        <v>-1</v>
      </c>
      <c r="E88" s="6">
        <f>C84</f>
        <v>-1</v>
      </c>
      <c r="F88" s="19"/>
      <c r="G88" s="21"/>
      <c r="H88" s="22">
        <f ca="1">RANDBETWEEN(1,3)</f>
        <v>1</v>
      </c>
      <c r="I88" s="1">
        <f ca="1">I82</f>
        <v>1</v>
      </c>
      <c r="J88" s="1">
        <f ca="1">I83</f>
        <v>-1</v>
      </c>
      <c r="K88" s="6">
        <f ca="1">I84</f>
        <v>-1</v>
      </c>
    </row>
    <row r="89" spans="1:11" x14ac:dyDescent="0.25">
      <c r="A89" s="21"/>
      <c r="B89" s="24" t="s">
        <v>0</v>
      </c>
      <c r="C89" s="27">
        <f>IF($C$8*C88+$D$8*D88+$E$8*E88&gt;0,1,-1)</f>
        <v>1</v>
      </c>
      <c r="D89" s="27"/>
      <c r="E89" s="28"/>
      <c r="F89" s="19"/>
      <c r="G89" s="21"/>
      <c r="H89" s="24" t="s">
        <v>0</v>
      </c>
      <c r="I89" s="27">
        <f ca="1">IF(H88=1,IF($C$8*I88+$D$8*J88+$E$8*K88&gt;0,1,-1),I88)</f>
        <v>1</v>
      </c>
      <c r="J89" s="27"/>
      <c r="K89" s="28"/>
    </row>
    <row r="90" spans="1:11" x14ac:dyDescent="0.25">
      <c r="A90" s="21"/>
      <c r="B90" s="25" t="s">
        <v>1</v>
      </c>
      <c r="C90" s="29">
        <f>IF($C$9*C88+$D$9*D88+$E$9*E88&gt;0,1,-1)</f>
        <v>-1</v>
      </c>
      <c r="D90" s="29"/>
      <c r="E90" s="30"/>
      <c r="F90" s="19"/>
      <c r="G90" s="21"/>
      <c r="H90" s="25" t="s">
        <v>1</v>
      </c>
      <c r="I90" s="29">
        <f ca="1">IF(H88=2,IF($C$9*I88+$D$9*J88+$E$9*K88&gt;0,1,-1),J88)</f>
        <v>-1</v>
      </c>
      <c r="J90" s="29"/>
      <c r="K90" s="30"/>
    </row>
    <row r="91" spans="1:11" ht="15.75" thickBot="1" x14ac:dyDescent="0.3">
      <c r="A91" s="23"/>
      <c r="B91" s="26" t="s">
        <v>2</v>
      </c>
      <c r="C91" s="31">
        <f>IF($C$10*C88+$D$10*D88+$E$10*E88&gt;0,1,-1)</f>
        <v>-1</v>
      </c>
      <c r="D91" s="31"/>
      <c r="E91" s="32"/>
      <c r="F91" s="19"/>
      <c r="G91" s="23"/>
      <c r="H91" s="26" t="s">
        <v>2</v>
      </c>
      <c r="I91" s="31">
        <f ca="1">IF(H88=3,IF($C$10*I88+$D$10*J88+$E$10*K88&gt;0,1,-1),K88)</f>
        <v>-1</v>
      </c>
      <c r="J91" s="31"/>
      <c r="K91" s="32"/>
    </row>
    <row r="92" spans="1:11" ht="15.75" thickBot="1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" customHeight="1" x14ac:dyDescent="0.25">
      <c r="A93" s="20" t="s">
        <v>4</v>
      </c>
      <c r="B93" s="52" t="s">
        <v>12</v>
      </c>
      <c r="C93" s="39" t="s">
        <v>3</v>
      </c>
      <c r="D93" s="39"/>
      <c r="E93" s="40"/>
      <c r="F93" s="19"/>
      <c r="G93" s="20" t="s">
        <v>4</v>
      </c>
      <c r="H93" s="52" t="s">
        <v>13</v>
      </c>
      <c r="I93" s="39" t="s">
        <v>3</v>
      </c>
      <c r="J93" s="39"/>
      <c r="K93" s="40"/>
    </row>
    <row r="94" spans="1:11" x14ac:dyDescent="0.25">
      <c r="A94" s="21"/>
      <c r="B94" s="53"/>
      <c r="C94" s="41" t="s">
        <v>0</v>
      </c>
      <c r="D94" s="41" t="s">
        <v>1</v>
      </c>
      <c r="E94" s="42" t="s">
        <v>2</v>
      </c>
      <c r="F94" s="19"/>
      <c r="G94" s="21"/>
      <c r="H94" s="53"/>
      <c r="I94" s="41" t="s">
        <v>0</v>
      </c>
      <c r="J94" s="41" t="s">
        <v>1</v>
      </c>
      <c r="K94" s="42" t="s">
        <v>2</v>
      </c>
    </row>
    <row r="95" spans="1:11" ht="15.75" thickBot="1" x14ac:dyDescent="0.3">
      <c r="A95" s="21"/>
      <c r="B95" s="54"/>
      <c r="C95" s="1">
        <f>C89</f>
        <v>1</v>
      </c>
      <c r="D95" s="1">
        <f>C90</f>
        <v>-1</v>
      </c>
      <c r="E95" s="6">
        <f>C91</f>
        <v>-1</v>
      </c>
      <c r="F95" s="19"/>
      <c r="G95" s="21"/>
      <c r="H95" s="22">
        <f ca="1">RANDBETWEEN(1,3)</f>
        <v>3</v>
      </c>
      <c r="I95" s="1">
        <f ca="1">I89</f>
        <v>1</v>
      </c>
      <c r="J95" s="1">
        <f ca="1">I90</f>
        <v>-1</v>
      </c>
      <c r="K95" s="6">
        <f ca="1">I91</f>
        <v>-1</v>
      </c>
    </row>
    <row r="96" spans="1:11" x14ac:dyDescent="0.25">
      <c r="A96" s="21"/>
      <c r="B96" s="24" t="s">
        <v>0</v>
      </c>
      <c r="C96" s="27">
        <f>IF($C$8*C95+$D$8*D95+$E$8*E95&gt;0,1,-1)</f>
        <v>1</v>
      </c>
      <c r="D96" s="27"/>
      <c r="E96" s="28"/>
      <c r="F96" s="19"/>
      <c r="G96" s="21"/>
      <c r="H96" s="24" t="s">
        <v>0</v>
      </c>
      <c r="I96" s="27">
        <f ca="1">IF(H95=1,IF($C$8*I95+$D$8*J95+$E$8*K95&gt;0,1,-1),I95)</f>
        <v>1</v>
      </c>
      <c r="J96" s="27"/>
      <c r="K96" s="28"/>
    </row>
    <row r="97" spans="1:11" x14ac:dyDescent="0.25">
      <c r="A97" s="21"/>
      <c r="B97" s="25" t="s">
        <v>1</v>
      </c>
      <c r="C97" s="29">
        <f>IF($C$9*C95+$D$9*D95+$E$9*E95&gt;0,1,-1)</f>
        <v>-1</v>
      </c>
      <c r="D97" s="29"/>
      <c r="E97" s="30"/>
      <c r="F97" s="19"/>
      <c r="G97" s="21"/>
      <c r="H97" s="25" t="s">
        <v>1</v>
      </c>
      <c r="I97" s="29">
        <f ca="1">IF(H95=2,IF($C$9*I95+$D$9*J95+$E$9*K95&gt;0,1,-1),J95)</f>
        <v>-1</v>
      </c>
      <c r="J97" s="29"/>
      <c r="K97" s="30"/>
    </row>
    <row r="98" spans="1:11" ht="15.75" thickBot="1" x14ac:dyDescent="0.3">
      <c r="A98" s="23"/>
      <c r="B98" s="26" t="s">
        <v>2</v>
      </c>
      <c r="C98" s="31">
        <f>IF($C$10*C95+$D$10*D95+$E$10*E95&gt;0,1,-1)</f>
        <v>-1</v>
      </c>
      <c r="D98" s="31"/>
      <c r="E98" s="32"/>
      <c r="F98" s="19"/>
      <c r="G98" s="23"/>
      <c r="H98" s="26" t="s">
        <v>2</v>
      </c>
      <c r="I98" s="31">
        <f ca="1">IF(H95=3,IF($C$10*I95+$D$10*J95+$E$10*K95&gt;0,1,-1),K95)</f>
        <v>-1</v>
      </c>
      <c r="J98" s="31"/>
      <c r="K98" s="32"/>
    </row>
    <row r="99" spans="1:11" ht="15.75" thickBot="1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ht="15" customHeight="1" x14ac:dyDescent="0.25">
      <c r="A100" s="20" t="s">
        <v>4</v>
      </c>
      <c r="B100" s="52" t="s">
        <v>12</v>
      </c>
      <c r="C100" s="39" t="s">
        <v>3</v>
      </c>
      <c r="D100" s="39"/>
      <c r="E100" s="40"/>
      <c r="F100" s="19"/>
      <c r="G100" s="20" t="s">
        <v>4</v>
      </c>
      <c r="H100" s="52" t="s">
        <v>13</v>
      </c>
      <c r="I100" s="39" t="s">
        <v>3</v>
      </c>
      <c r="J100" s="39"/>
      <c r="K100" s="40"/>
    </row>
    <row r="101" spans="1:11" x14ac:dyDescent="0.25">
      <c r="A101" s="21"/>
      <c r="B101" s="53"/>
      <c r="C101" s="41" t="s">
        <v>0</v>
      </c>
      <c r="D101" s="41" t="s">
        <v>1</v>
      </c>
      <c r="E101" s="42" t="s">
        <v>2</v>
      </c>
      <c r="F101" s="19"/>
      <c r="G101" s="21"/>
      <c r="H101" s="53"/>
      <c r="I101" s="41" t="s">
        <v>0</v>
      </c>
      <c r="J101" s="41" t="s">
        <v>1</v>
      </c>
      <c r="K101" s="42" t="s">
        <v>2</v>
      </c>
    </row>
    <row r="102" spans="1:11" ht="15.75" thickBot="1" x14ac:dyDescent="0.3">
      <c r="A102" s="21"/>
      <c r="B102" s="54"/>
      <c r="C102" s="1">
        <f>C96</f>
        <v>1</v>
      </c>
      <c r="D102" s="1">
        <f>C97</f>
        <v>-1</v>
      </c>
      <c r="E102" s="6">
        <f>C98</f>
        <v>-1</v>
      </c>
      <c r="F102" s="19"/>
      <c r="G102" s="21"/>
      <c r="H102" s="22">
        <f ca="1">RANDBETWEEN(1,3)</f>
        <v>2</v>
      </c>
      <c r="I102" s="1">
        <f ca="1">I96</f>
        <v>1</v>
      </c>
      <c r="J102" s="1">
        <f ca="1">I97</f>
        <v>-1</v>
      </c>
      <c r="K102" s="6">
        <f ca="1">I98</f>
        <v>-1</v>
      </c>
    </row>
    <row r="103" spans="1:11" x14ac:dyDescent="0.25">
      <c r="A103" s="21"/>
      <c r="B103" s="24" t="s">
        <v>0</v>
      </c>
      <c r="C103" s="27">
        <f>IF($C$8*C102+$D$8*D102+$E$8*E102&gt;0,1,-1)</f>
        <v>1</v>
      </c>
      <c r="D103" s="27"/>
      <c r="E103" s="28"/>
      <c r="F103" s="19"/>
      <c r="G103" s="21"/>
      <c r="H103" s="24" t="s">
        <v>0</v>
      </c>
      <c r="I103" s="27">
        <f ca="1">IF(H102=1,IF($C$8*I102+$D$8*J102+$E$8*K102&gt;0,1,-1),I102)</f>
        <v>1</v>
      </c>
      <c r="J103" s="27"/>
      <c r="K103" s="28"/>
    </row>
    <row r="104" spans="1:11" x14ac:dyDescent="0.25">
      <c r="A104" s="21"/>
      <c r="B104" s="25" t="s">
        <v>1</v>
      </c>
      <c r="C104" s="29">
        <f>IF($C$9*C102+$D$9*D102+$E$9*E102&gt;0,1,-1)</f>
        <v>-1</v>
      </c>
      <c r="D104" s="29"/>
      <c r="E104" s="30"/>
      <c r="F104" s="19"/>
      <c r="G104" s="21"/>
      <c r="H104" s="25" t="s">
        <v>1</v>
      </c>
      <c r="I104" s="29">
        <f ca="1">IF(H102=2,IF($C$9*I102+$D$9*J102+$E$9*K102&gt;0,1,-1),J102)</f>
        <v>-1</v>
      </c>
      <c r="J104" s="29"/>
      <c r="K104" s="30"/>
    </row>
    <row r="105" spans="1:11" ht="15.75" thickBot="1" x14ac:dyDescent="0.3">
      <c r="A105" s="23"/>
      <c r="B105" s="26" t="s">
        <v>2</v>
      </c>
      <c r="C105" s="31">
        <f>IF($C$10*C102+$D$10*D102+$E$10*E102&gt;0,1,-1)</f>
        <v>-1</v>
      </c>
      <c r="D105" s="31"/>
      <c r="E105" s="32"/>
      <c r="F105" s="19"/>
      <c r="G105" s="23"/>
      <c r="H105" s="26" t="s">
        <v>2</v>
      </c>
      <c r="I105" s="31">
        <f ca="1">IF(H102=3,IF($C$10*I102+$D$10*J102+$E$10*K102&gt;0,1,-1),K102)</f>
        <v>-1</v>
      </c>
      <c r="J105" s="31"/>
      <c r="K105" s="32"/>
    </row>
    <row r="106" spans="1:11" ht="15.75" thickBot="1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ht="15" customHeight="1" x14ac:dyDescent="0.25">
      <c r="A107" s="20" t="s">
        <v>4</v>
      </c>
      <c r="B107" s="52" t="s">
        <v>12</v>
      </c>
      <c r="C107" s="39" t="s">
        <v>3</v>
      </c>
      <c r="D107" s="39"/>
      <c r="E107" s="40"/>
      <c r="F107" s="19"/>
      <c r="G107" s="20" t="s">
        <v>4</v>
      </c>
      <c r="H107" s="52" t="s">
        <v>13</v>
      </c>
      <c r="I107" s="39" t="s">
        <v>3</v>
      </c>
      <c r="J107" s="39"/>
      <c r="K107" s="40"/>
    </row>
    <row r="108" spans="1:11" x14ac:dyDescent="0.25">
      <c r="A108" s="21"/>
      <c r="B108" s="53"/>
      <c r="C108" s="41" t="s">
        <v>0</v>
      </c>
      <c r="D108" s="41" t="s">
        <v>1</v>
      </c>
      <c r="E108" s="42" t="s">
        <v>2</v>
      </c>
      <c r="F108" s="19"/>
      <c r="G108" s="21"/>
      <c r="H108" s="53"/>
      <c r="I108" s="41" t="s">
        <v>0</v>
      </c>
      <c r="J108" s="41" t="s">
        <v>1</v>
      </c>
      <c r="K108" s="42" t="s">
        <v>2</v>
      </c>
    </row>
    <row r="109" spans="1:11" ht="15.75" thickBot="1" x14ac:dyDescent="0.3">
      <c r="A109" s="21"/>
      <c r="B109" s="54"/>
      <c r="C109" s="1">
        <f>C103</f>
        <v>1</v>
      </c>
      <c r="D109" s="1">
        <f>C104</f>
        <v>-1</v>
      </c>
      <c r="E109" s="6">
        <f>C105</f>
        <v>-1</v>
      </c>
      <c r="F109" s="19"/>
      <c r="G109" s="21"/>
      <c r="H109" s="22">
        <f ca="1">RANDBETWEEN(1,3)</f>
        <v>3</v>
      </c>
      <c r="I109" s="1">
        <f ca="1">I103</f>
        <v>1</v>
      </c>
      <c r="J109" s="1">
        <f ca="1">I104</f>
        <v>-1</v>
      </c>
      <c r="K109" s="6">
        <f ca="1">I105</f>
        <v>-1</v>
      </c>
    </row>
    <row r="110" spans="1:11" x14ac:dyDescent="0.25">
      <c r="A110" s="21"/>
      <c r="B110" s="24" t="s">
        <v>0</v>
      </c>
      <c r="C110" s="27">
        <f>IF($C$8*C109+$D$8*D109+$E$8*E109&gt;0,1,-1)</f>
        <v>1</v>
      </c>
      <c r="D110" s="27"/>
      <c r="E110" s="28"/>
      <c r="F110" s="19"/>
      <c r="G110" s="21"/>
      <c r="H110" s="24" t="s">
        <v>0</v>
      </c>
      <c r="I110" s="27">
        <f ca="1">IF(H109=1,IF($C$8*I109+$D$8*J109+$E$8*K109&gt;0,1,-1),I109)</f>
        <v>1</v>
      </c>
      <c r="J110" s="27"/>
      <c r="K110" s="28"/>
    </row>
    <row r="111" spans="1:11" x14ac:dyDescent="0.25">
      <c r="A111" s="21"/>
      <c r="B111" s="25" t="s">
        <v>1</v>
      </c>
      <c r="C111" s="29">
        <f>IF($C$9*C109+$D$9*D109+$E$9*E109&gt;0,1,-1)</f>
        <v>-1</v>
      </c>
      <c r="D111" s="29"/>
      <c r="E111" s="30"/>
      <c r="F111" s="19"/>
      <c r="G111" s="21"/>
      <c r="H111" s="25" t="s">
        <v>1</v>
      </c>
      <c r="I111" s="29">
        <f ca="1">IF(H109=2,IF($C$9*I109+$D$9*J109+$E$9*K109&gt;0,1,-1),J109)</f>
        <v>-1</v>
      </c>
      <c r="J111" s="29"/>
      <c r="K111" s="30"/>
    </row>
    <row r="112" spans="1:11" ht="15.75" thickBot="1" x14ac:dyDescent="0.3">
      <c r="A112" s="23"/>
      <c r="B112" s="26" t="s">
        <v>2</v>
      </c>
      <c r="C112" s="31">
        <f>IF($C$10*C109+$D$10*D109+$E$10*E109&gt;0,1,-1)</f>
        <v>-1</v>
      </c>
      <c r="D112" s="31"/>
      <c r="E112" s="32"/>
      <c r="F112" s="19"/>
      <c r="G112" s="23"/>
      <c r="H112" s="26" t="s">
        <v>2</v>
      </c>
      <c r="I112" s="31">
        <f ca="1">IF(H109=3,IF($C$10*I109+$D$10*J109+$E$10*K109&gt;0,1,-1),K109)</f>
        <v>-1</v>
      </c>
      <c r="J112" s="31"/>
      <c r="K112" s="32"/>
    </row>
    <row r="113" spans="1:11" ht="15.75" thickBot="1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ht="15" customHeight="1" x14ac:dyDescent="0.25">
      <c r="A114" s="20" t="s">
        <v>4</v>
      </c>
      <c r="B114" s="52" t="s">
        <v>12</v>
      </c>
      <c r="C114" s="39" t="s">
        <v>3</v>
      </c>
      <c r="D114" s="39"/>
      <c r="E114" s="40"/>
      <c r="F114" s="19"/>
      <c r="G114" s="20" t="s">
        <v>4</v>
      </c>
      <c r="H114" s="52" t="s">
        <v>9</v>
      </c>
      <c r="I114" s="39" t="s">
        <v>3</v>
      </c>
      <c r="J114" s="39"/>
      <c r="K114" s="40"/>
    </row>
    <row r="115" spans="1:11" x14ac:dyDescent="0.25">
      <c r="A115" s="21"/>
      <c r="B115" s="53"/>
      <c r="C115" s="41" t="s">
        <v>0</v>
      </c>
      <c r="D115" s="41" t="s">
        <v>1</v>
      </c>
      <c r="E115" s="42" t="s">
        <v>2</v>
      </c>
      <c r="F115" s="19"/>
      <c r="G115" s="21"/>
      <c r="H115" s="53"/>
      <c r="I115" s="41" t="s">
        <v>0</v>
      </c>
      <c r="J115" s="41" t="s">
        <v>1</v>
      </c>
      <c r="K115" s="42" t="s">
        <v>2</v>
      </c>
    </row>
    <row r="116" spans="1:11" ht="15.75" thickBot="1" x14ac:dyDescent="0.3">
      <c r="A116" s="21"/>
      <c r="B116" s="54"/>
      <c r="C116" s="1">
        <f>C110</f>
        <v>1</v>
      </c>
      <c r="D116" s="1">
        <f>C111</f>
        <v>-1</v>
      </c>
      <c r="E116" s="6">
        <f>C112</f>
        <v>-1</v>
      </c>
      <c r="F116" s="19"/>
      <c r="G116" s="21"/>
      <c r="H116" s="22">
        <f ca="1">RANDBETWEEN(1,3)</f>
        <v>2</v>
      </c>
      <c r="I116" s="1">
        <f ca="1">I110</f>
        <v>1</v>
      </c>
      <c r="J116" s="1">
        <f ca="1">I111</f>
        <v>-1</v>
      </c>
      <c r="K116" s="6">
        <f ca="1">I112</f>
        <v>-1</v>
      </c>
    </row>
    <row r="117" spans="1:11" x14ac:dyDescent="0.25">
      <c r="A117" s="21"/>
      <c r="B117" s="24" t="s">
        <v>0</v>
      </c>
      <c r="C117" s="27">
        <f>IF($C$8*C116+$D$8*D116+$E$8*E116&gt;0,1,-1)</f>
        <v>1</v>
      </c>
      <c r="D117" s="27"/>
      <c r="E117" s="28"/>
      <c r="F117" s="19"/>
      <c r="G117" s="21"/>
      <c r="H117" s="24" t="s">
        <v>0</v>
      </c>
      <c r="I117" s="27">
        <f ca="1">IF(H116=1,IF($C$8*I116+$D$8*J116+$E$8*K116&gt;0,1,-1),I116)</f>
        <v>1</v>
      </c>
      <c r="J117" s="27"/>
      <c r="K117" s="28"/>
    </row>
    <row r="118" spans="1:11" x14ac:dyDescent="0.25">
      <c r="A118" s="21"/>
      <c r="B118" s="25" t="s">
        <v>1</v>
      </c>
      <c r="C118" s="29">
        <f>IF($C$9*C116+$D$9*D116+$E$9*E116&gt;0,1,-1)</f>
        <v>-1</v>
      </c>
      <c r="D118" s="29"/>
      <c r="E118" s="30"/>
      <c r="F118" s="19"/>
      <c r="G118" s="21"/>
      <c r="H118" s="25" t="s">
        <v>1</v>
      </c>
      <c r="I118" s="29">
        <f ca="1">IF(H116=2,IF($C$9*I116+$D$9*J116+$E$9*K116&gt;0,1,-1),J116)</f>
        <v>-1</v>
      </c>
      <c r="J118" s="29"/>
      <c r="K118" s="30"/>
    </row>
    <row r="119" spans="1:11" ht="15.75" thickBot="1" x14ac:dyDescent="0.3">
      <c r="A119" s="23"/>
      <c r="B119" s="26" t="s">
        <v>2</v>
      </c>
      <c r="C119" s="31">
        <f>IF($C$10*C116+$D$10*D116+$E$10*E116&gt;0,1,-1)</f>
        <v>-1</v>
      </c>
      <c r="D119" s="31"/>
      <c r="E119" s="32"/>
      <c r="F119" s="19"/>
      <c r="G119" s="23"/>
      <c r="H119" s="26" t="s">
        <v>2</v>
      </c>
      <c r="I119" s="31">
        <f ca="1">IF(H116=3,IF($C$10*I116+$D$10*J116+$E$10*K116&gt;0,1,-1),K116)</f>
        <v>-1</v>
      </c>
      <c r="J119" s="31"/>
      <c r="K119" s="32"/>
    </row>
    <row r="120" spans="1:11" ht="15.75" thickBot="1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ht="15" customHeight="1" x14ac:dyDescent="0.25">
      <c r="A121" s="20" t="s">
        <v>4</v>
      </c>
      <c r="B121" s="52" t="s">
        <v>12</v>
      </c>
      <c r="C121" s="39" t="s">
        <v>3</v>
      </c>
      <c r="D121" s="39"/>
      <c r="E121" s="40"/>
      <c r="F121" s="19"/>
      <c r="G121" s="20" t="s">
        <v>4</v>
      </c>
      <c r="H121" s="52" t="s">
        <v>13</v>
      </c>
      <c r="I121" s="39" t="s">
        <v>3</v>
      </c>
      <c r="J121" s="39"/>
      <c r="K121" s="40"/>
    </row>
    <row r="122" spans="1:11" x14ac:dyDescent="0.25">
      <c r="A122" s="21"/>
      <c r="B122" s="53"/>
      <c r="C122" s="41" t="s">
        <v>0</v>
      </c>
      <c r="D122" s="41" t="s">
        <v>1</v>
      </c>
      <c r="E122" s="42" t="s">
        <v>2</v>
      </c>
      <c r="F122" s="19"/>
      <c r="G122" s="21"/>
      <c r="H122" s="53"/>
      <c r="I122" s="41" t="s">
        <v>0</v>
      </c>
      <c r="J122" s="41" t="s">
        <v>1</v>
      </c>
      <c r="K122" s="42" t="s">
        <v>2</v>
      </c>
    </row>
    <row r="123" spans="1:11" ht="15.75" thickBot="1" x14ac:dyDescent="0.3">
      <c r="A123" s="21"/>
      <c r="B123" s="54"/>
      <c r="C123" s="1">
        <f>C117</f>
        <v>1</v>
      </c>
      <c r="D123" s="1">
        <f>C118</f>
        <v>-1</v>
      </c>
      <c r="E123" s="6">
        <f>C119</f>
        <v>-1</v>
      </c>
      <c r="F123" s="19"/>
      <c r="G123" s="21"/>
      <c r="H123" s="22">
        <f ca="1">RANDBETWEEN(1,3)</f>
        <v>3</v>
      </c>
      <c r="I123" s="1">
        <f ca="1">I117</f>
        <v>1</v>
      </c>
      <c r="J123" s="1">
        <f ca="1">I118</f>
        <v>-1</v>
      </c>
      <c r="K123" s="6">
        <f ca="1">I119</f>
        <v>-1</v>
      </c>
    </row>
    <row r="124" spans="1:11" x14ac:dyDescent="0.25">
      <c r="A124" s="21"/>
      <c r="B124" s="24" t="s">
        <v>0</v>
      </c>
      <c r="C124" s="27">
        <f>IF($C$8*C123+$D$8*D123+$E$8*E123&gt;0,1,-1)</f>
        <v>1</v>
      </c>
      <c r="D124" s="27"/>
      <c r="E124" s="28"/>
      <c r="F124" s="19"/>
      <c r="G124" s="21"/>
      <c r="H124" s="24" t="s">
        <v>0</v>
      </c>
      <c r="I124" s="27">
        <f ca="1">IF(H123=1,IF($C$8*I123+$D$8*J123+$E$8*K123&gt;0,1,-1),I123)</f>
        <v>1</v>
      </c>
      <c r="J124" s="27"/>
      <c r="K124" s="28"/>
    </row>
    <row r="125" spans="1:11" x14ac:dyDescent="0.25">
      <c r="A125" s="21"/>
      <c r="B125" s="25" t="s">
        <v>1</v>
      </c>
      <c r="C125" s="29">
        <f>IF($C$9*C123+$D$9*D123+$E$9*E123&gt;0,1,-1)</f>
        <v>-1</v>
      </c>
      <c r="D125" s="29"/>
      <c r="E125" s="30"/>
      <c r="F125" s="19"/>
      <c r="G125" s="21"/>
      <c r="H125" s="25" t="s">
        <v>1</v>
      </c>
      <c r="I125" s="29">
        <f ca="1">IF(H123=2,IF($C$9*I123+$D$9*J123+$E$9*K123&gt;0,1,-1),J123)</f>
        <v>-1</v>
      </c>
      <c r="J125" s="29"/>
      <c r="K125" s="30"/>
    </row>
    <row r="126" spans="1:11" ht="15.75" thickBot="1" x14ac:dyDescent="0.3">
      <c r="A126" s="23"/>
      <c r="B126" s="26" t="s">
        <v>2</v>
      </c>
      <c r="C126" s="31">
        <f>IF($C$10*C123+$D$10*D123+$E$10*E123&gt;0,1,-1)</f>
        <v>-1</v>
      </c>
      <c r="D126" s="31"/>
      <c r="E126" s="32"/>
      <c r="F126" s="19"/>
      <c r="G126" s="23"/>
      <c r="H126" s="26" t="s">
        <v>2</v>
      </c>
      <c r="I126" s="31">
        <f ca="1">IF(H123=3,IF($C$10*I123+$D$10*J123+$E$10*K123&gt;0,1,-1),K123)</f>
        <v>-1</v>
      </c>
      <c r="J126" s="31"/>
      <c r="K126" s="32"/>
    </row>
    <row r="127" spans="1:11" ht="15.75" thickBot="1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ht="15" customHeight="1" x14ac:dyDescent="0.25">
      <c r="A128" s="20" t="s">
        <v>4</v>
      </c>
      <c r="B128" s="52" t="s">
        <v>12</v>
      </c>
      <c r="C128" s="39" t="s">
        <v>3</v>
      </c>
      <c r="D128" s="39"/>
      <c r="E128" s="40"/>
      <c r="F128" s="19"/>
      <c r="G128" s="20" t="s">
        <v>4</v>
      </c>
      <c r="H128" s="52" t="s">
        <v>13</v>
      </c>
      <c r="I128" s="39" t="s">
        <v>3</v>
      </c>
      <c r="J128" s="39"/>
      <c r="K128" s="40"/>
    </row>
    <row r="129" spans="1:11" x14ac:dyDescent="0.25">
      <c r="A129" s="21"/>
      <c r="B129" s="53"/>
      <c r="C129" s="41" t="s">
        <v>0</v>
      </c>
      <c r="D129" s="41" t="s">
        <v>1</v>
      </c>
      <c r="E129" s="42" t="s">
        <v>2</v>
      </c>
      <c r="F129" s="19"/>
      <c r="G129" s="21"/>
      <c r="H129" s="53"/>
      <c r="I129" s="41" t="s">
        <v>0</v>
      </c>
      <c r="J129" s="41" t="s">
        <v>1</v>
      </c>
      <c r="K129" s="42" t="s">
        <v>2</v>
      </c>
    </row>
    <row r="130" spans="1:11" ht="15.75" thickBot="1" x14ac:dyDescent="0.3">
      <c r="A130" s="21"/>
      <c r="B130" s="54"/>
      <c r="C130" s="1">
        <f>C124</f>
        <v>1</v>
      </c>
      <c r="D130" s="1">
        <f>C125</f>
        <v>-1</v>
      </c>
      <c r="E130" s="6">
        <f>C126</f>
        <v>-1</v>
      </c>
      <c r="F130" s="19"/>
      <c r="G130" s="21"/>
      <c r="H130" s="22">
        <f ca="1">RANDBETWEEN(1,3)</f>
        <v>2</v>
      </c>
      <c r="I130" s="1">
        <f ca="1">I124</f>
        <v>1</v>
      </c>
      <c r="J130" s="1">
        <f ca="1">I125</f>
        <v>-1</v>
      </c>
      <c r="K130" s="6">
        <f ca="1">I126</f>
        <v>-1</v>
      </c>
    </row>
    <row r="131" spans="1:11" x14ac:dyDescent="0.25">
      <c r="A131" s="21"/>
      <c r="B131" s="24" t="s">
        <v>0</v>
      </c>
      <c r="C131" s="27">
        <f>IF($C$8*C130+$D$8*D130+$E$8*E130&gt;0,1,-1)</f>
        <v>1</v>
      </c>
      <c r="D131" s="27"/>
      <c r="E131" s="28"/>
      <c r="F131" s="19"/>
      <c r="G131" s="21"/>
      <c r="H131" s="24" t="s">
        <v>0</v>
      </c>
      <c r="I131" s="27">
        <f ca="1">IF(H130=1,IF($C$8*I130+$D$8*J130+$E$8*K130&gt;0,1,-1),I130)</f>
        <v>1</v>
      </c>
      <c r="J131" s="27"/>
      <c r="K131" s="28"/>
    </row>
    <row r="132" spans="1:11" x14ac:dyDescent="0.25">
      <c r="A132" s="21"/>
      <c r="B132" s="25" t="s">
        <v>1</v>
      </c>
      <c r="C132" s="29">
        <f>IF($C$9*C130+$D$9*D130+$E$9*E130&gt;0,1,-1)</f>
        <v>-1</v>
      </c>
      <c r="D132" s="29"/>
      <c r="E132" s="30"/>
      <c r="F132" s="19"/>
      <c r="G132" s="21"/>
      <c r="H132" s="25" t="s">
        <v>1</v>
      </c>
      <c r="I132" s="29">
        <f ca="1">IF(H130=2,IF($C$9*I130+$D$9*J130+$E$9*K130&gt;0,1,-1),J130)</f>
        <v>-1</v>
      </c>
      <c r="J132" s="29"/>
      <c r="K132" s="30"/>
    </row>
    <row r="133" spans="1:11" ht="15.75" thickBot="1" x14ac:dyDescent="0.3">
      <c r="A133" s="23"/>
      <c r="B133" s="26" t="s">
        <v>2</v>
      </c>
      <c r="C133" s="31">
        <f>IF($C$10*C130+$D$10*D130+$E$10*E130&gt;0,1,-1)</f>
        <v>-1</v>
      </c>
      <c r="D133" s="31"/>
      <c r="E133" s="32"/>
      <c r="F133" s="19"/>
      <c r="G133" s="23"/>
      <c r="H133" s="26" t="s">
        <v>2</v>
      </c>
      <c r="I133" s="31">
        <f ca="1">IF(H130=3,IF($C$10*I130+$D$10*J130+$E$10*K130&gt;0,1,-1),K130)</f>
        <v>-1</v>
      </c>
      <c r="J133" s="31"/>
      <c r="K133" s="32"/>
    </row>
  </sheetData>
  <mergeCells count="203">
    <mergeCell ref="I21:K21"/>
    <mergeCell ref="G1:K13"/>
    <mergeCell ref="B100:B102"/>
    <mergeCell ref="B107:B109"/>
    <mergeCell ref="B114:B116"/>
    <mergeCell ref="B121:B123"/>
    <mergeCell ref="B128:B130"/>
    <mergeCell ref="A19:B21"/>
    <mergeCell ref="B58:B60"/>
    <mergeCell ref="B65:B67"/>
    <mergeCell ref="B72:B74"/>
    <mergeCell ref="B79:B81"/>
    <mergeCell ref="B86:B88"/>
    <mergeCell ref="B93:B95"/>
    <mergeCell ref="B23:B25"/>
    <mergeCell ref="B30:B32"/>
    <mergeCell ref="B37:B39"/>
    <mergeCell ref="B44:B46"/>
    <mergeCell ref="C21:E21"/>
    <mergeCell ref="G19:H21"/>
    <mergeCell ref="C131:E131"/>
    <mergeCell ref="I131:K131"/>
    <mergeCell ref="C132:E132"/>
    <mergeCell ref="I132:K132"/>
    <mergeCell ref="C133:E133"/>
    <mergeCell ref="I133:K133"/>
    <mergeCell ref="I124:K124"/>
    <mergeCell ref="C125:E125"/>
    <mergeCell ref="I125:K125"/>
    <mergeCell ref="C126:E126"/>
    <mergeCell ref="I126:K126"/>
    <mergeCell ref="A128:A133"/>
    <mergeCell ref="C128:E128"/>
    <mergeCell ref="G128:G133"/>
    <mergeCell ref="H128:H129"/>
    <mergeCell ref="I128:K128"/>
    <mergeCell ref="C118:E118"/>
    <mergeCell ref="I118:K118"/>
    <mergeCell ref="C119:E119"/>
    <mergeCell ref="I119:K119"/>
    <mergeCell ref="A121:A126"/>
    <mergeCell ref="C121:E121"/>
    <mergeCell ref="G121:G126"/>
    <mergeCell ref="H121:H122"/>
    <mergeCell ref="I121:K121"/>
    <mergeCell ref="C124:E124"/>
    <mergeCell ref="I111:K111"/>
    <mergeCell ref="C112:E112"/>
    <mergeCell ref="I112:K112"/>
    <mergeCell ref="A114:A119"/>
    <mergeCell ref="C114:E114"/>
    <mergeCell ref="G114:G119"/>
    <mergeCell ref="H114:H115"/>
    <mergeCell ref="I114:K114"/>
    <mergeCell ref="C117:E117"/>
    <mergeCell ref="I117:K117"/>
    <mergeCell ref="C105:E105"/>
    <mergeCell ref="I105:K105"/>
    <mergeCell ref="A107:A112"/>
    <mergeCell ref="C107:E107"/>
    <mergeCell ref="G107:G112"/>
    <mergeCell ref="H107:H108"/>
    <mergeCell ref="I107:K107"/>
    <mergeCell ref="C110:E110"/>
    <mergeCell ref="I110:K110"/>
    <mergeCell ref="C111:E111"/>
    <mergeCell ref="I98:K98"/>
    <mergeCell ref="A100:A105"/>
    <mergeCell ref="C100:E100"/>
    <mergeCell ref="G100:G105"/>
    <mergeCell ref="H100:H101"/>
    <mergeCell ref="I100:K100"/>
    <mergeCell ref="C103:E103"/>
    <mergeCell ref="I103:K103"/>
    <mergeCell ref="C104:E104"/>
    <mergeCell ref="I104:K104"/>
    <mergeCell ref="A93:A98"/>
    <mergeCell ref="C93:E93"/>
    <mergeCell ref="G93:G98"/>
    <mergeCell ref="H93:H94"/>
    <mergeCell ref="I93:K93"/>
    <mergeCell ref="C96:E96"/>
    <mergeCell ref="I96:K96"/>
    <mergeCell ref="C97:E97"/>
    <mergeCell ref="I97:K97"/>
    <mergeCell ref="C98:E98"/>
    <mergeCell ref="G86:G91"/>
    <mergeCell ref="H86:H87"/>
    <mergeCell ref="I86:K86"/>
    <mergeCell ref="C89:E89"/>
    <mergeCell ref="I89:K89"/>
    <mergeCell ref="C90:E90"/>
    <mergeCell ref="I90:K90"/>
    <mergeCell ref="C91:E91"/>
    <mergeCell ref="I91:K91"/>
    <mergeCell ref="A79:A84"/>
    <mergeCell ref="C79:E79"/>
    <mergeCell ref="C82:E82"/>
    <mergeCell ref="C83:E83"/>
    <mergeCell ref="C84:E84"/>
    <mergeCell ref="A86:A91"/>
    <mergeCell ref="C86:E86"/>
    <mergeCell ref="A65:A70"/>
    <mergeCell ref="C65:E65"/>
    <mergeCell ref="C68:E68"/>
    <mergeCell ref="C69:E69"/>
    <mergeCell ref="C70:E70"/>
    <mergeCell ref="A72:A77"/>
    <mergeCell ref="C72:E72"/>
    <mergeCell ref="C75:E75"/>
    <mergeCell ref="C76:E76"/>
    <mergeCell ref="C77:E77"/>
    <mergeCell ref="C51:E51"/>
    <mergeCell ref="C54:E54"/>
    <mergeCell ref="C55:E55"/>
    <mergeCell ref="C56:E56"/>
    <mergeCell ref="A58:A63"/>
    <mergeCell ref="C58:E58"/>
    <mergeCell ref="C61:E61"/>
    <mergeCell ref="C62:E62"/>
    <mergeCell ref="C63:E63"/>
    <mergeCell ref="B51:B53"/>
    <mergeCell ref="G79:G84"/>
    <mergeCell ref="H79:H80"/>
    <mergeCell ref="I79:K79"/>
    <mergeCell ref="I82:K82"/>
    <mergeCell ref="I83:K83"/>
    <mergeCell ref="I84:K84"/>
    <mergeCell ref="G72:G77"/>
    <mergeCell ref="H72:H73"/>
    <mergeCell ref="I72:K72"/>
    <mergeCell ref="I75:K75"/>
    <mergeCell ref="I76:K76"/>
    <mergeCell ref="I77:K77"/>
    <mergeCell ref="G65:G70"/>
    <mergeCell ref="H65:H66"/>
    <mergeCell ref="I65:K65"/>
    <mergeCell ref="I68:K68"/>
    <mergeCell ref="I69:K69"/>
    <mergeCell ref="I70:K70"/>
    <mergeCell ref="G58:G63"/>
    <mergeCell ref="H58:H59"/>
    <mergeCell ref="I58:K58"/>
    <mergeCell ref="I61:K61"/>
    <mergeCell ref="I62:K62"/>
    <mergeCell ref="I63:K63"/>
    <mergeCell ref="A16:E17"/>
    <mergeCell ref="G16:K17"/>
    <mergeCell ref="G51:G56"/>
    <mergeCell ref="H51:H52"/>
    <mergeCell ref="I51:K51"/>
    <mergeCell ref="I54:K54"/>
    <mergeCell ref="I55:K55"/>
    <mergeCell ref="I56:K56"/>
    <mergeCell ref="A51:A56"/>
    <mergeCell ref="G44:G49"/>
    <mergeCell ref="H44:H45"/>
    <mergeCell ref="I44:K44"/>
    <mergeCell ref="I47:K47"/>
    <mergeCell ref="I48:K48"/>
    <mergeCell ref="I49:K49"/>
    <mergeCell ref="G37:G42"/>
    <mergeCell ref="H37:H38"/>
    <mergeCell ref="I37:K37"/>
    <mergeCell ref="I40:K40"/>
    <mergeCell ref="I41:K41"/>
    <mergeCell ref="I42:K42"/>
    <mergeCell ref="H23:H24"/>
    <mergeCell ref="G30:G35"/>
    <mergeCell ref="H30:H31"/>
    <mergeCell ref="I30:K30"/>
    <mergeCell ref="I33:K33"/>
    <mergeCell ref="I34:K34"/>
    <mergeCell ref="I35:K35"/>
    <mergeCell ref="A1:E2"/>
    <mergeCell ref="G23:G28"/>
    <mergeCell ref="I23:K23"/>
    <mergeCell ref="I26:K26"/>
    <mergeCell ref="I27:K27"/>
    <mergeCell ref="I28:K28"/>
    <mergeCell ref="A37:A42"/>
    <mergeCell ref="C37:E37"/>
    <mergeCell ref="C40:E40"/>
    <mergeCell ref="C41:E41"/>
    <mergeCell ref="C42:E42"/>
    <mergeCell ref="A44:A49"/>
    <mergeCell ref="C44:E44"/>
    <mergeCell ref="C47:E47"/>
    <mergeCell ref="C48:E48"/>
    <mergeCell ref="C49:E49"/>
    <mergeCell ref="C28:E28"/>
    <mergeCell ref="A30:A35"/>
    <mergeCell ref="C30:E30"/>
    <mergeCell ref="C33:E33"/>
    <mergeCell ref="C34:E34"/>
    <mergeCell ref="C35:E35"/>
    <mergeCell ref="A7:A10"/>
    <mergeCell ref="A4:B5"/>
    <mergeCell ref="A12:B13"/>
    <mergeCell ref="C23:E23"/>
    <mergeCell ref="A23:A28"/>
    <mergeCell ref="C26:E26"/>
    <mergeCell ref="C27:E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2021-06-05T19:04:53Z</dcterms:created>
  <dcterms:modified xsi:type="dcterms:W3CDTF">2021-06-05T20:36:23Z</dcterms:modified>
</cp:coreProperties>
</file>